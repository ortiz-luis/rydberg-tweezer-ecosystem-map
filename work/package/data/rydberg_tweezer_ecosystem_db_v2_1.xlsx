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worksheets/sheet4.xml" ContentType="application/vnd.openxmlformats-officedocument.spreadsheetml.worksheet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worksheets/sheet5.xml" ContentType="application/vnd.openxmlformats-officedocument.spreadsheetml.worksheet+xml"/>
  <Override PartName="/xl/tables/table7.xml" ContentType="application/vnd.openxmlformats-officedocument.spreadsheetml.table+xml"/>
  <Override PartName="/xl/worksheets/sheet6.xml" ContentType="application/vnd.openxmlformats-officedocument.spreadsheetml.worksheet+xml"/>
  <Override PartName="/xl/tables/table8.xml" ContentType="application/vnd.openxmlformats-officedocument.spreadsheetml.table+xml"/>
  <Override PartName="/xl/worksheets/sheet7.xml" ContentType="application/vnd.openxmlformats-officedocument.spreadsheetml.worksheet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ables/table13.xml" ContentType="application/vnd.openxmlformats-officedocument.spreadsheetml.table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ables/table14.xml" ContentType="application/vnd.openxmlformats-officedocument.spreadsheetml.table+xml"/>
  <Override PartName="/xl/worksheets/sheet39.xml" ContentType="application/vnd.openxmlformats-officedocument.spreadsheetml.worksheet+xml"/>
  <Override PartName="/xl/tables/table15.xml" ContentType="application/vnd.openxmlformats-officedocument.spreadsheetml.table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tables/table16.xml" ContentType="application/vnd.openxmlformats-officedocument.spreadsheetml.table+xml"/>
  <Override PartName="/xl/worksheets/sheet44.xml" ContentType="application/vnd.openxmlformats-officedocument.spreadsheetml.worksheet+xml"/>
  <Override PartName="/xl/tables/table17.xml" ContentType="application/vnd.openxmlformats-officedocument.spreadsheetml.table+xml"/>
  <Override PartName="/xl/worksheets/sheet45.xml" ContentType="application/vnd.openxmlformats-officedocument.spreadsheetml.worksheet+xml"/>
  <Override PartName="/xl/tables/table18.xml" ContentType="application/vnd.openxmlformats-officedocument.spreadsheetml.table+xml"/>
  <Override PartName="/xl/worksheets/sheet46.xml" ContentType="application/vnd.openxmlformats-officedocument.spreadsheetml.worksheet+xml"/>
  <Override PartName="/xl/tables/table19.xml" ContentType="application/vnd.openxmlformats-officedocument.spreadsheetml.table+xml"/>
  <Override PartName="/xl/worksheets/sheet4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bdfa5977ff046c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bc8576f25b0d4967"/>
    <x:sheet xmlns:r="http://schemas.openxmlformats.org/officeDocument/2006/relationships" name="Database" sheetId="2" r:id="R367784b262c849cb"/>
    <x:sheet xmlns:r="http://schemas.openxmlformats.org/officeDocument/2006/relationships" name="Review_Seeds" sheetId="3" r:id="R8c5c6ad2bc344f22"/>
    <x:sheet xmlns:r="http://schemas.openxmlformats.org/officeDocument/2006/relationships" name="Arxiv_Queries" sheetId="4" r:id="Re478ad2a27b34c3b"/>
    <x:sheet xmlns:r="http://schemas.openxmlformats.org/officeDocument/2006/relationships" name="Taxonomy" sheetId="5" r:id="R01a18651783449fc"/>
    <x:sheet xmlns:r="http://schemas.openxmlformats.org/officeDocument/2006/relationships" name="Version_Log" sheetId="6" r:id="R2c9af030d1c84f47"/>
    <x:sheet xmlns:r="http://schemas.openxmlformats.org/officeDocument/2006/relationships" name="Candidate_Staging" sheetId="7" r:id="R714e207e53224233"/>
    <x:sheet xmlns:r="http://schemas.openxmlformats.org/officeDocument/2006/relationships" name="Lists" sheetId="8" r:id="Raeb30148744a4aeb"/>
    <x:sheet xmlns:r="http://schemas.openxmlformats.org/officeDocument/2006/relationships" name="Curation_Summary" sheetId="9" r:id="Ra21ae714415e4ac0"/>
    <x:sheet xmlns:r="http://schemas.openxmlformats.org/officeDocument/2006/relationships" name="Citation_Queue" sheetId="10" r:id="Re189f9a3a74b4394"/>
    <x:sheet xmlns:r="http://schemas.openxmlformats.org/officeDocument/2006/relationships" name="Arxiv_PI_Map_2024_2026" sheetId="11" r:id="R5d8c48da0f9f432f"/>
    <x:sheet xmlns:r="http://schemas.openxmlformats.org/officeDocument/2006/relationships" name="Arxiv_PI_Aggregate" sheetId="12" r:id="R50dbb7e4254645d3"/>
    <x:sheet xmlns:r="http://schemas.openxmlformats.org/officeDocument/2006/relationships" name="Arxiv_Run_Protocol" sheetId="13" r:id="R1fe0324b4d544d28"/>
    <x:sheet xmlns:r="http://schemas.openxmlformats.org/officeDocument/2006/relationships" name="QC_Checks" sheetId="14" r:id="R41c8d6d944c24779"/>
    <x:sheet xmlns:r="http://schemas.openxmlformats.org/officeDocument/2006/relationships" name="PI_Affiliation_QC" sheetId="15" r:id="Rb3efb04050664305"/>
    <x:sheet xmlns:r="http://schemas.openxmlformats.org/officeDocument/2006/relationships" name="Map_Export" sheetId="16" r:id="Rb768802ab64a46fe"/>
    <x:sheet xmlns:r="http://schemas.openxmlformats.org/officeDocument/2006/relationships" name="Web_Readiness" sheetId="17" r:id="R78f11a4e75014472"/>
    <x:sheet xmlns:r="http://schemas.openxmlformats.org/officeDocument/2006/relationships" name="Arxiv_Batch_v1_1" sheetId="18" r:id="R85021d5ec6244913"/>
    <x:sheet xmlns:r="http://schemas.openxmlformats.org/officeDocument/2006/relationships" name="Affiliation_Cleanup_v1_2" sheetId="19" r:id="Ra0edbcbda2264e11"/>
    <x:sheet xmlns:r="http://schemas.openxmlformats.org/officeDocument/2006/relationships" name="v1_2_Decision_Summary" sheetId="20" r:id="Re97929cfd22a4195"/>
    <x:sheet xmlns:r="http://schemas.openxmlformats.org/officeDocument/2006/relationships" name="v1_3_Promotion_Summary" sheetId="21" r:id="Re069526b61864c3b"/>
    <x:sheet xmlns:r="http://schemas.openxmlformats.org/officeDocument/2006/relationships" name="Arxiv_Batch_v1_4" sheetId="22" r:id="R7f62150efa0b48f0"/>
    <x:sheet xmlns:r="http://schemas.openxmlformats.org/officeDocument/2006/relationships" name="v1_4_Decision_Summary" sheetId="23" r:id="Rc448e21dd871404d"/>
    <x:sheet xmlns:r="http://schemas.openxmlformats.org/officeDocument/2006/relationships" name="v1_5_Promotion_Summary" sheetId="24" r:id="R2dd4b5dd86e64cd7"/>
    <x:sheet xmlns:r="http://schemas.openxmlformats.org/officeDocument/2006/relationships" name="Source_Exhaustion_Criteria" sheetId="25" r:id="Rad8c848a0165480d"/>
    <x:sheet xmlns:r="http://schemas.openxmlformats.org/officeDocument/2006/relationships" name="Arxiv_Batch_v1_6" sheetId="26" r:id="R0a8075c99dd941dc"/>
    <x:sheet xmlns:r="http://schemas.openxmlformats.org/officeDocument/2006/relationships" name="Source_Run_Log" sheetId="27" r:id="R82e76167b34f4e60"/>
    <x:sheet xmlns:r="http://schemas.openxmlformats.org/officeDocument/2006/relationships" name="Source_Saturation_Metrics" sheetId="28" r:id="R89000cf9255e45fb"/>
    <x:sheet xmlns:r="http://schemas.openxmlformats.org/officeDocument/2006/relationships" name="v1_6_Decision_Summary" sheetId="29" r:id="R9799fe0a376541e3"/>
    <x:sheet xmlns:r="http://schemas.openxmlformats.org/officeDocument/2006/relationships" name="Affiliation_Cleanup_v1_7" sheetId="30" r:id="R04ae218a38d649b3"/>
    <x:sheet xmlns:r="http://schemas.openxmlformats.org/officeDocument/2006/relationships" name="v1_7_Promotion_Summary" sheetId="31" r:id="Raf399c281922432b"/>
    <x:sheet xmlns:r="http://schemas.openxmlformats.org/officeDocument/2006/relationships" name="Saturation_Trend_v1_7" sheetId="32" r:id="Rb0bf54f1b5664b34"/>
    <x:sheet xmlns:r="http://schemas.openxmlformats.org/officeDocument/2006/relationships" name="Arxiv_Batch_v1_8" sheetId="33" r:id="R70ead5ddf9604fb5"/>
    <x:sheet xmlns:r="http://schemas.openxmlformats.org/officeDocument/2006/relationships" name="Review_Citation_Run_v1_8" sheetId="34" r:id="Rddd664175fca4cbd"/>
    <x:sheet xmlns:r="http://schemas.openxmlformats.org/officeDocument/2006/relationships" name="Arxiv_Query_Grid_v1_8" sheetId="35" r:id="R5d72f3882d264991"/>
    <x:sheet xmlns:r="http://schemas.openxmlformats.org/officeDocument/2006/relationships" name="Exhaustion_Dashboard_v1_8" sheetId="36" r:id="Rb0d30fe14e6b4963"/>
    <x:sheet xmlns:r="http://schemas.openxmlformats.org/officeDocument/2006/relationships" name="v1_8_Decision_Summary" sheetId="37" r:id="R5e7c1b4ae4184a34"/>
    <x:sheet xmlns:r="http://schemas.openxmlformats.org/officeDocument/2006/relationships" name="Review_References_v1_9" sheetId="38" r:id="Rd287b70cfa7e4fbd"/>
    <x:sheet xmlns:r="http://schemas.openxmlformats.org/officeDocument/2006/relationships" name="Review_Citation_Run_v1_9" sheetId="39" r:id="R5a804648cfb54471"/>
    <x:sheet xmlns:r="http://schemas.openxmlformats.org/officeDocument/2006/relationships" name="v1_9_Decision_Summary" sheetId="40" r:id="Ree75dc2327a94201"/>
    <x:sheet xmlns:r="http://schemas.openxmlformats.org/officeDocument/2006/relationships" name="Review_Affiliation_Cleanup_v2_0" sheetId="41" r:id="R269311aded8148f8"/>
    <x:sheet xmlns:r="http://schemas.openxmlformats.org/officeDocument/2006/relationships" name="v2_0_Promotion_Summary" sheetId="42" r:id="R824554c69fc3431d"/>
    <x:sheet xmlns:r="http://schemas.openxmlformats.org/officeDocument/2006/relationships" name="Pending_Refs_v2_1" sheetId="43" r:id="R8fd33a7bf91448ba"/>
    <x:sheet xmlns:r="http://schemas.openxmlformats.org/officeDocument/2006/relationships" name="Exhaustion_Dashboard_v2_1" sheetId="44" r:id="Rb2b24ec7426e4f96"/>
    <x:sheet xmlns:r="http://schemas.openxmlformats.org/officeDocument/2006/relationships" name="Source_Coverage_v2_1" sheetId="45" r:id="R13f8f9276da34dfd"/>
    <x:sheet xmlns:r="http://schemas.openxmlformats.org/officeDocument/2006/relationships" name="Next_Run_Queue_v2_1" sheetId="46" r:id="R20279a28ad1e4d2a"/>
    <x:sheet xmlns:r="http://schemas.openxmlformats.org/officeDocument/2006/relationships" name="v2_1_Decision_Summary" sheetId="47" r:id="Rb9b8180a40e94e5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9">
    <x:font>
      <x:sz val="11"/>
      <x:name val="Carlito"/>
    </x:font>
    <x:font>
      <x:b/>
      <x:sz val="16"/>
      <x:color rgb="FFFFFFFF"/>
      <x:name val="Carlito"/>
    </x:font>
    <x:font>
      <x:b/>
      <x:sz val="11"/>
      <x:name val="Carlito"/>
    </x:font>
    <x:font>
      <x:b/>
      <x:sz val="11"/>
      <x:color rgb="FFFFFFFF"/>
      <x:name val="Carlito"/>
    </x:font>
    <x:font>
      <x:b/>
      <x:sz val="10"/>
      <x:color rgb="FFFFFFFF"/>
      <x:name val="Carlito"/>
    </x:font>
    <x:font>
      <x:sz val="10"/>
      <x:name val="Carlito"/>
    </x:font>
    <x:font>
      <x:b/>
      <x:sz val="14"/>
      <x:color rgb="FFFFFFFF"/>
      <x:name val="Carlito"/>
    </x:font>
    <x:font>
      <x:b/>
      <x:sz val="11"/>
      <x:color rgb="FF000000"/>
      <x:name val="Carlito"/>
    </x:font>
    <x:font>
      <x:b/>
      <x:sz val="11"/>
      <x:color rgb="FF0F172A"/>
      <x:name val="Carlito"/>
    </x:font>
  </x:fonts>
  <x:fills count="41">
    <x:fill>
      <x:patternFill patternType="none"/>
    </x:fill>
    <x:fill>
      <x:patternFill patternType="gray125"/>
    </x:fill>
    <x:fill>
      <x:patternFill patternType="solid">
        <x:fgColor rgb="FF1F4E79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  <x:fill>
      <x:patternFill patternType="solid">
        <x:fgColor rgb="FF1F4E79"/>
      </x:patternFill>
    </x:fill>
    <x:fill>
      <x:patternFill patternType="solid">
        <x:fgColor rgb="FF1F4E78"/>
      </x:patternFill>
    </x:fill>
    <x:fill>
      <x:patternFill patternType="solid">
        <x:fgColor rgb="FF1F4E79"/>
      </x:patternFill>
    </x:fill>
    <x:fill>
      <x:patternFill patternType="solid">
        <x:fgColor rgb="FFD9EAF7"/>
      </x:patternFill>
    </x:fill>
    <x:fill>
      <x:patternFill patternType="solid">
        <x:fgColor rgb="FF0F766E"/>
      </x:patternFill>
    </x:fill>
    <x:fill>
      <x:patternFill patternType="solid">
        <x:fgColor rgb="FFE0F2F1"/>
      </x:patternFill>
    </x:fill>
    <x:fill>
      <x:patternFill patternType="solid">
        <x:fgColor rgb="FF1F4E78"/>
      </x:patternFill>
    </x:fill>
    <x:fill>
      <x:patternFill patternType="solid">
        <x:fgColor rgb="FF1F4E79"/>
      </x:patternFill>
    </x:fill>
    <x:fill>
      <x:patternFill patternType="solid">
        <x:fgColor rgb="FF7F1D1D"/>
      </x:patternFill>
    </x:fill>
    <x:fill>
      <x:patternFill patternType="solid">
        <x:fgColor rgb="FF0F766E"/>
      </x:patternFill>
    </x:fill>
    <x:fill>
      <x:patternFill patternType="solid">
        <x:fgColor rgb="FF1F4E79"/>
      </x:patternFill>
    </x:fill>
    <x:fill>
      <x:patternFill patternType="solid">
        <x:fgColor rgb="FFEAF2F8"/>
      </x:patternFill>
    </x:fill>
    <x:fill>
      <x:patternFill patternType="solid">
        <x:fgColor rgb="FF0F766E"/>
      </x:patternFill>
    </x:fill>
    <x:fill>
      <x:patternFill patternType="solid">
        <x:fgColor rgb="FF7C3AED"/>
      </x:patternFill>
    </x:fill>
    <x:fill>
      <x:patternFill patternType="solid">
        <x:fgColor rgb="FF1F4E78"/>
      </x:patternFill>
    </x:fill>
    <x:fill>
      <x:patternFill patternType="solid">
        <x:fgColor rgb="FF1F4E79"/>
      </x:patternFill>
    </x:fill>
    <x:fill>
      <x:patternFill patternType="solid">
        <x:fgColor rgb="FF7030A0"/>
      </x:patternFill>
    </x:fill>
    <x:fill>
      <x:patternFill patternType="solid">
        <x:fgColor rgb="FFD9EAD3"/>
      </x:patternFill>
    </x:fill>
    <x:fill>
      <x:patternFill patternType="solid">
        <x:fgColor rgb="FF1F4E79"/>
      </x:patternFill>
    </x:fill>
    <x:fill>
      <x:patternFill patternType="solid">
        <x:fgColor rgb="FF1F4E78"/>
      </x:patternFill>
    </x:fill>
    <x:fill>
      <x:patternFill patternType="solid">
        <x:fgColor rgb="FF1F4E79"/>
      </x:patternFill>
    </x:fill>
    <x:fill>
      <x:patternFill patternType="solid">
        <x:fgColor rgb="FF5B2C6F"/>
      </x:patternFill>
    </x:fill>
    <x:fill>
      <x:patternFill patternType="solid">
        <x:fgColor rgb="FF0F766E"/>
      </x:patternFill>
    </x:fill>
    <x:fill>
      <x:patternFill patternType="solid">
        <x:fgColor rgb="FF1F4E78"/>
      </x:patternFill>
    </x:fill>
    <x:fill>
      <x:patternFill patternType="solid">
        <x:fgColor rgb="FF0F766E"/>
      </x:patternFill>
    </x:fill>
    <x:fill>
      <x:patternFill patternType="solid">
        <x:fgColor rgb="FF1D4ED8"/>
      </x:patternFill>
    </x:fill>
    <x:fill>
      <x:patternFill patternType="solid">
        <x:fgColor rgb="FF7C2D12"/>
      </x:patternFill>
    </x:fill>
    <x:fill>
      <x:patternFill patternType="solid">
        <x:fgColor rgb="FF0F766E"/>
      </x:patternFill>
    </x:fill>
    <x:fill>
      <x:patternFill patternType="solid">
        <x:fgColor rgb="FF7C3AED"/>
      </x:patternFill>
    </x:fill>
    <x:fill>
      <x:patternFill patternType="solid">
        <x:fgColor rgb="FF334155"/>
      </x:patternFill>
    </x:fill>
    <x:fill>
      <x:patternFill patternType="solid">
        <x:fgColor rgb="FF1F4E78"/>
      </x:patternFill>
    </x:fill>
    <x:fill>
      <x:patternFill patternType="solid">
        <x:fgColor rgb="FF1F4E78"/>
      </x:patternFill>
    </x:fill>
    <x:fill>
      <x:patternFill patternType="solid">
        <x:fgColor rgb="FF7030A0"/>
      </x:patternFill>
    </x:fill>
    <x:fill>
      <x:patternFill patternType="solid">
        <x:fgColor rgb="FF0F766E"/>
      </x:patternFill>
    </x:fill>
    <x:fill>
      <x:patternFill patternType="solid">
        <x:fgColor rgb="FF1F4E79"/>
      </x:patternFill>
    </x:fill>
    <x:fill>
      <x:patternFill patternType="solid">
        <x:fgColor rgb="FFE2E8F0"/>
      </x:patternFill>
    </x:fill>
  </x:fills>
  <x:borders count="2">
    <x:border/>
    <x:border/>
  </x:borders>
  <x:cellStyleXfs count="1">
    <x:xf numFmtId="0" fontId="0" fillId="0" borderId="0"/>
  </x:cellStyleXfs>
  <x:cellXfs count="20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top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3" fillId="2" borderId="0" xfId="0" applyNumberFormat="1" applyFont="1" applyFill="1" applyBorder="1" applyAlignment="1">
      <x:alignment horizontal="center" vertical="top" wrapText="1"/>
    </x:xf>
    <x:xf numFmtId="0" fontId="3" fillId="2" borderId="1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 vertical="top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wrapText="1"/>
    </x:xf>
    <x:xf numFmtId="0" fontId="3" fillId="5" borderId="0" xfId="0" applyNumberFormat="1" applyFont="1" applyFill="1" applyBorder="1" applyAlignment="1">
      <x:alignment horizontal="center" wrapText="1"/>
    </x:xf>
    <x:xf numFmtId="0" fontId="3" fillId="5" borderId="0" xfId="0" applyNumberFormat="1" applyFont="1" applyFill="1" applyBorder="1" applyAlignment="1">
      <x:alignment horizontal="center" vertical="center" wrapText="1"/>
    </x:xf>
    <x:xf numFmtId="0" fontId="4" fillId="2" borderId="0" xfId="0" applyNumberFormat="1" applyFont="1" applyFill="1" applyBorder="1" applyAlignment="1">
      <x:alignment horizontal="center" vertical="top" wrapText="1"/>
    </x:xf>
    <x:xf numFmtId="0" fontId="5" fillId="0" borderId="0" xfId="0" applyNumberFormat="1" applyFont="1" applyFill="1" applyBorder="1" applyAlignment="1">
      <x:alignment vertical="top" wrapText="1"/>
    </x:xf>
    <x:xf numFmtId="0" fontId="4" fillId="4" borderId="0" xfId="0" applyNumberFormat="1" applyFont="1" applyFill="1" applyBorder="1" applyAlignment="1">
      <x:alignment horizontal="center" vertical="top" wrapText="1"/>
    </x:xf>
    <x:xf numFmtId="0" fontId="4" fillId="6" borderId="0" xfId="0" applyNumberFormat="1" applyFont="1" applyFill="1" applyBorder="1" applyAlignment="1">
      <x:alignment horizontal="center" vertical="top" wrapText="1"/>
    </x:xf>
    <x:xf numFmtId="0" fontId="4" fillId="6" borderId="0" xfId="0" applyNumberFormat="1" applyFont="1" applyFill="1" applyBorder="1" applyAlignment="1">
      <x:alignment horizontal="center" vertical="center" wrapText="1"/>
    </x:xf>
    <x:xf numFmtId="0" fontId="4" fillId="4" borderId="0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0" xfId="0" applyNumberFormat="1" applyFont="1" applyFill="1" applyBorder="1" applyAlignment="1">
      <x:alignment wrapText="1"/>
    </x:xf>
    <x:xf numFmtId="0" fontId="3" fillId="7" borderId="0" xfId="0" applyNumberFormat="1" applyFont="1" applyFill="1" applyBorder="1" applyAlignment="1">
      <x:alignment horizontal="center" wrapText="1"/>
    </x:xf>
    <x:xf numFmtId="0" fontId="3" fillId="7" borderId="0" xfId="0" applyNumberFormat="1" applyFont="1" applyFill="1" applyBorder="1" applyAlignment="1">
      <x:alignment horizontal="center" vertical="center"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7" borderId="0" xfId="0" applyNumberFormat="1" applyFont="1" applyFill="1" applyBorder="1"/>
    <x:xf numFmtId="0" fontId="6" fillId="7" borderId="0" xfId="0" applyNumberFormat="1" applyFont="1" applyFill="1" applyBorder="1" applyAlignment="1">
      <x:alignment horizontal="center"/>
    </x:xf>
    <x:xf numFmtId="0" fontId="6" fillId="7" borderId="0" xfId="0" applyNumberFormat="1" applyFont="1" applyFill="1" applyBorder="1" applyAlignment="1">
      <x:alignment horizontal="center" vertical="center"/>
    </x:xf>
    <x:xf numFmtId="0" fontId="0" fillId="8" borderId="0" xfId="0" applyNumberFormat="1" applyFont="1" applyFill="1" applyBorder="1"/>
    <x:xf numFmtId="0" fontId="7" fillId="8" borderId="0" xfId="0" applyNumberFormat="1" applyFont="1" applyFill="1" applyBorder="1"/>
    <x:xf numFmtId="0" fontId="7" fillId="8" borderId="0" xfId="0" applyNumberFormat="1" applyFont="1" applyFill="1" applyBorder="1" applyAlignment="1">
      <x:alignment wrapText="1"/>
    </x:xf>
    <x:xf numFmtId="0" fontId="7" fillId="8" borderId="0" xfId="0" applyNumberFormat="1" applyFont="1" applyFill="1" applyBorder="1" applyAlignment="1">
      <x:alignment horizontal="center" wrapText="1"/>
    </x:xf>
    <x:xf numFmtId="0" fontId="7" fillId="8" borderId="0" xfId="0" applyNumberFormat="1" applyFont="1" applyFill="1" applyBorder="1" applyAlignment="1">
      <x:alignment horizontal="center" vertical="center" wrapText="1"/>
    </x:xf>
    <x:xf numFmtId="0" fontId="6" fillId="7" borderId="0" xfId="0" applyNumberFormat="1" applyFont="1" applyFill="1" applyBorder="1" applyAlignment="1">
      <x:alignment horizontal="center" vertical="center" wrapText="1"/>
    </x:xf>
    <x:xf numFmtId="0" fontId="6" fillId="2" borderId="0" xfId="0" applyNumberFormat="1" applyFont="1" applyFill="1" applyBorder="1"/>
    <x:xf numFmtId="0" fontId="6" fillId="2" borderId="0" xfId="0" applyNumberFormat="1" applyFont="1" applyFill="1" applyBorder="1" applyAlignment="1">
      <x:alignment horizontal="center"/>
    </x:xf>
    <x:xf numFmtId="0" fontId="6" fillId="2" borderId="0" xfId="0" applyNumberFormat="1" applyFont="1" applyFill="1" applyBorder="1" applyAlignment="1">
      <x:alignment horizontal="center" vertical="center"/>
    </x:xf>
    <x:xf numFmtId="0" fontId="7" fillId="3" borderId="0" xfId="0" applyNumberFormat="1" applyFont="1" applyFill="1" applyBorder="1"/>
    <x:xf numFmtId="0" fontId="7" fillId="3" borderId="0" xfId="0" applyNumberFormat="1" applyFont="1" applyFill="1" applyBorder="1" applyAlignment="1">
      <x:alignment wrapText="1"/>
    </x:xf>
    <x:xf numFmtId="0" fontId="7" fillId="3" borderId="0" xfId="0" applyNumberFormat="1" applyFont="1" applyFill="1" applyBorder="1" applyAlignment="1">
      <x:alignment horizontal="center" wrapText="1"/>
    </x:xf>
    <x:xf numFmtId="0" fontId="7" fillId="3" borderId="0" xfId="0" applyNumberFormat="1" applyFont="1" applyFill="1" applyBorder="1" applyAlignment="1">
      <x:alignment horizontal="center" vertical="center" wrapText="1"/>
    </x:xf>
    <x:xf numFmtId="0" fontId="6" fillId="2" borderId="0" xfId="0" applyNumberFormat="1" applyFont="1" applyFill="1" applyBorder="1" applyAlignment="1">
      <x:alignment horizontal="center" vertical="center" wrapText="1"/>
    </x:xf>
    <x:xf numFmtId="0" fontId="3" fillId="9" borderId="0" xfId="0" applyNumberFormat="1" applyFont="1" applyFill="1" applyBorder="1" applyAlignment="1">
      <x:alignment horizontal="center" vertical="center" wrapText="1"/>
    </x:xf>
    <x:xf numFmtId="0" fontId="0" fillId="10" borderId="0" xfId="0" applyNumberFormat="1" applyFont="1" applyFill="1" applyBorder="1" applyAlignment="1">
      <x:alignment wrapText="1"/>
    </x:xf>
    <x:xf numFmtId="0" fontId="0" fillId="1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10" borderId="0" xfId="0" applyNumberFormat="1" applyFont="1" applyFill="1" applyBorder="1" applyAlignment="1">
      <x:alignment wrapText="1"/>
    </x:xf>
    <x:xf numFmtId="0" fontId="2" fillId="1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9" borderId="0" xfId="0" applyNumberFormat="1" applyFont="1" applyFill="1" applyBorder="1"/>
    <x:xf numFmtId="0" fontId="3" fillId="9" borderId="0" xfId="0" applyNumberFormat="1" applyFont="1" applyFill="1" applyBorder="1"/>
    <x:xf numFmtId="0" fontId="3" fillId="9" borderId="0" xfId="0" applyNumberFormat="1" applyFont="1" applyFill="1" applyBorder="1" applyAlignment="1">
      <x:alignment wrapText="1"/>
    </x:xf>
    <x:xf numFmtId="0" fontId="3" fillId="9" borderId="0" xfId="0" applyNumberFormat="1" applyFont="1" applyFill="1" applyBorder="1" applyAlignment="1">
      <x:alignment horizontal="center" wrapText="1"/>
    </x:xf>
    <x:xf numFmtId="0" fontId="3" fillId="11" borderId="0" xfId="0" applyNumberFormat="1" applyFont="1" applyFill="1" applyBorder="1" applyAlignment="1">
      <x:alignment horizontal="center" vertical="center" wrapText="1"/>
    </x:xf>
    <x:xf numFmtId="0" fontId="0" fillId="11" borderId="0" xfId="0" applyNumberFormat="1" applyFont="1" applyFill="1" applyBorder="1"/>
    <x:xf numFmtId="0" fontId="3" fillId="11" borderId="0" xfId="0" applyNumberFormat="1" applyFont="1" applyFill="1" applyBorder="1"/>
    <x:xf numFmtId="0" fontId="3" fillId="11" borderId="0" xfId="0" applyNumberFormat="1" applyFont="1" applyFill="1" applyBorder="1" applyAlignment="1">
      <x:alignment horizontal="center"/>
    </x:xf>
    <x:xf numFmtId="0" fontId="3" fillId="11" borderId="0" xfId="0" applyNumberFormat="1" applyFont="1" applyFill="1" applyBorder="1" applyAlignment="1">
      <x:alignment horizontal="center" vertical="center"/>
    </x:xf>
    <x:xf numFmtId="0" fontId="4" fillId="11" borderId="0" xfId="0" applyNumberFormat="1" applyFont="1" applyFill="1" applyBorder="1" applyAlignment="1">
      <x:alignment horizontal="center" vertical="center" wrapText="1"/>
    </x:xf>
    <x:xf numFmtId="0" fontId="3" fillId="4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0" fillId="12" borderId="0" xfId="0" applyNumberFormat="1" applyFont="1" applyFill="1" applyBorder="1"/>
    <x:xf numFmtId="0" fontId="3" fillId="12" borderId="0" xfId="0" applyNumberFormat="1" applyFont="1" applyFill="1" applyBorder="1"/>
    <x:xf numFmtId="0" fontId="3" fillId="12" borderId="0" xfId="0" applyNumberFormat="1" applyFont="1" applyFill="1" applyBorder="1" applyAlignment="1">
      <x:alignment horizontal="center"/>
    </x:xf>
    <x:xf numFmtId="0" fontId="3" fillId="12" borderId="0" xfId="0" applyNumberFormat="1" applyFont="1" applyFill="1" applyBorder="1" applyAlignment="1">
      <x:alignment horizontal="center" vertical="center"/>
    </x:xf>
    <x:xf numFmtId="0" fontId="3" fillId="13" borderId="0" xfId="0" applyNumberFormat="1" applyFont="1" applyFill="1" applyBorder="1" applyAlignment="1">
      <x:alignment horizontal="center" vertical="center" wrapText="1"/>
    </x:xf>
    <x:xf numFmtId="0" fontId="4" fillId="14" borderId="0" xfId="0" applyNumberFormat="1" applyFont="1" applyFill="1" applyBorder="1" applyAlignment="1">
      <x:alignment horizontal="center" vertical="center" wrapText="1"/>
    </x:xf>
    <x:xf numFmtId="0" fontId="3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4" fillId="9" borderId="0" xfId="0" applyNumberFormat="1" applyFont="1" applyFill="1" applyBorder="1" applyAlignment="1">
      <x:alignment horizontal="center" vertical="center" wrapText="1"/>
    </x:xf>
    <x:xf numFmtId="0" fontId="3" fillId="15" borderId="0" xfId="0" applyNumberFormat="1" applyFont="1" applyFill="1" applyBorder="1" applyAlignment="1">
      <x:alignment horizontal="center" vertical="center" wrapText="1"/>
    </x:xf>
    <x:xf numFmtId="0" fontId="1" fillId="2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vertical="top" wrapText="1"/>
    </x:xf>
    <x:xf numFmtId="0" fontId="1" fillId="16" borderId="0" xfId="0" applyNumberFormat="1" applyFont="1" applyFill="1" applyBorder="1" applyAlignment="1">
      <x:alignment horizontal="center" wrapText="1"/>
    </x:xf>
    <x:xf numFmtId="0" fontId="0" fillId="16" borderId="0" xfId="0" applyNumberFormat="1" applyFont="1" applyFill="1" applyBorder="1" applyAlignment="1">
      <x:alignment wrapText="1"/>
    </x:xf>
    <x:xf numFmtId="0" fontId="2" fillId="16" borderId="0" xfId="0" applyNumberFormat="1" applyFont="1" applyFill="1" applyBorder="1" applyAlignment="1">
      <x:alignment vertical="top" wrapText="1"/>
    </x:xf>
    <x:xf numFmtId="0" fontId="2" fillId="16" borderId="0" xfId="0" applyNumberFormat="1" applyFont="1" applyFill="1" applyBorder="1" applyAlignment="1">
      <x:alignment wrapText="1"/>
    </x:xf>
    <x:xf numFmtId="0" fontId="0" fillId="17" borderId="0" xfId="0" applyNumberFormat="1" applyFont="1" applyFill="1" applyBorder="1"/>
    <x:xf numFmtId="0" fontId="3" fillId="17" borderId="0" xfId="0" applyNumberFormat="1" applyFont="1" applyFill="1" applyBorder="1"/>
    <x:xf numFmtId="0" fontId="3" fillId="17" borderId="0" xfId="0" applyNumberFormat="1" applyFont="1" applyFill="1" applyBorder="1" applyAlignment="1">
      <x:alignment horizontal="center"/>
    </x:xf>
    <x:xf numFmtId="0" fontId="0" fillId="18" borderId="0" xfId="0" applyNumberFormat="1" applyFont="1" applyFill="1" applyBorder="1"/>
    <x:xf numFmtId="0" fontId="3" fillId="18" borderId="0" xfId="0" applyNumberFormat="1" applyFont="1" applyFill="1" applyBorder="1"/>
    <x:xf numFmtId="0" fontId="3" fillId="18" borderId="0" xfId="0" applyNumberFormat="1" applyFont="1" applyFill="1" applyBorder="1" applyAlignment="1">
      <x:alignment wrapText="1"/>
    </x:xf>
    <x:xf numFmtId="0" fontId="3" fillId="9" borderId="0" xfId="0" applyNumberFormat="1" applyFont="1" applyFill="1" applyBorder="1" applyAlignment="1">
      <x:alignment horizontal="center"/>
    </x:xf>
    <x:xf numFmtId="0" fontId="0" fillId="19" borderId="0" xfId="0" applyNumberFormat="1" applyFont="1" applyFill="1" applyBorder="1"/>
    <x:xf numFmtId="0" fontId="3" fillId="19" borderId="0" xfId="0" applyNumberFormat="1" applyFont="1" applyFill="1" applyBorder="1"/>
    <x:xf numFmtId="0" fontId="3" fillId="19" borderId="0" xfId="0" applyNumberFormat="1" applyFont="1" applyFill="1" applyBorder="1" applyAlignment="1">
      <x:alignment wrapText="1"/>
    </x:xf>
    <x:xf numFmtId="0" fontId="3" fillId="19" borderId="0" xfId="0" applyNumberFormat="1" applyFont="1" applyFill="1" applyBorder="1" applyAlignment="1">
      <x:alignment horizontal="center" wrapText="1"/>
    </x:xf>
    <x:xf numFmtId="0" fontId="3" fillId="19" borderId="0" xfId="0" applyNumberFormat="1" applyFont="1" applyFill="1" applyBorder="1" applyAlignment="1">
      <x:alignment horizontal="center" vertical="center" wrapText="1"/>
    </x:xf>
    <x:xf numFmtId="0" fontId="0" fillId="20" borderId="0" xfId="0" applyNumberFormat="1" applyFont="1" applyFill="1" applyBorder="1"/>
    <x:xf numFmtId="0" fontId="3" fillId="20" borderId="0" xfId="0" applyNumberFormat="1" applyFont="1" applyFill="1" applyBorder="1"/>
    <x:xf numFmtId="0" fontId="3" fillId="20" borderId="0" xfId="0" applyNumberFormat="1" applyFont="1" applyFill="1" applyBorder="1" applyAlignment="1">
      <x:alignment wrapText="1"/>
    </x:xf>
    <x:xf numFmtId="0" fontId="3" fillId="20" borderId="0" xfId="0" applyNumberFormat="1" applyFont="1" applyFill="1" applyBorder="1" applyAlignment="1">
      <x:alignment horizontal="center" wrapText="1"/>
    </x:xf>
    <x:xf numFmtId="0" fontId="3" fillId="20" borderId="0" xfId="0" applyNumberFormat="1" applyFont="1" applyFill="1" applyBorder="1" applyAlignment="1">
      <x:alignment horizontal="center" vertical="center" wrapText="1"/>
    </x:xf>
    <x:xf numFmtId="0" fontId="0" fillId="21" borderId="0" xfId="0" applyNumberFormat="1" applyFont="1" applyFill="1" applyBorder="1"/>
    <x:xf numFmtId="0" fontId="3" fillId="21" borderId="0" xfId="0" applyNumberFormat="1" applyFont="1" applyFill="1" applyBorder="1"/>
    <x:xf numFmtId="0" fontId="3" fillId="21" borderId="0" xfId="0" applyNumberFormat="1" applyFont="1" applyFill="1" applyBorder="1" applyAlignment="1">
      <x:alignment horizontal="center"/>
    </x:xf>
    <x:xf numFmtId="0" fontId="3" fillId="21" borderId="0" xfId="0" applyNumberFormat="1" applyFont="1" applyFill="1" applyBorder="1" applyAlignment="1">
      <x:alignment horizontal="center" wrapText="1"/>
    </x:xf>
    <x:xf numFmtId="0" fontId="0" fillId="22" borderId="0" xfId="0" applyNumberFormat="1" applyFont="1" applyFill="1" applyBorder="1"/>
    <x:xf numFmtId="0" fontId="2" fillId="22" borderId="0" xfId="0" applyNumberFormat="1" applyFont="1" applyFill="1" applyBorder="1"/>
    <x:xf numFmtId="0" fontId="2" fillId="22" borderId="0" xfId="0" applyNumberFormat="1" applyFont="1" applyFill="1" applyBorder="1" applyAlignment="1">
      <x:alignment wrapText="1"/>
    </x:xf>
    <x:xf numFmtId="0" fontId="0" fillId="23" borderId="0" xfId="0" applyNumberFormat="1" applyFont="1" applyFill="1" applyBorder="1"/>
    <x:xf numFmtId="0" fontId="3" fillId="23" borderId="0" xfId="0" applyNumberFormat="1" applyFont="1" applyFill="1" applyBorder="1"/>
    <x:xf numFmtId="0" fontId="3" fillId="23" borderId="0" xfId="0" applyNumberFormat="1" applyFont="1" applyFill="1" applyBorder="1" applyAlignment="1">
      <x:alignment horizontal="center"/>
    </x:xf>
    <x:xf numFmtId="0" fontId="3" fillId="23" borderId="0" xfId="0" applyNumberFormat="1" applyFont="1" applyFill="1" applyBorder="1" applyAlignment="1">
      <x:alignment horizontal="center" wrapText="1"/>
    </x:xf>
    <x:xf numFmtId="0" fontId="0" fillId="24" borderId="0" xfId="0" applyNumberFormat="1" applyFont="1" applyFill="1" applyBorder="1"/>
    <x:xf numFmtId="0" fontId="3" fillId="24" borderId="0" xfId="0" applyNumberFormat="1" applyFont="1" applyFill="1" applyBorder="1"/>
    <x:xf numFmtId="0" fontId="3" fillId="24" borderId="0" xfId="0" applyNumberFormat="1" applyFont="1" applyFill="1" applyBorder="1" applyAlignment="1">
      <x:alignment wrapText="1"/>
    </x:xf>
    <x:xf numFmtId="0" fontId="3" fillId="24" borderId="0" xfId="0" applyNumberFormat="1" applyFont="1" applyFill="1" applyBorder="1" applyAlignment="1">
      <x:alignment horizontal="center" wrapText="1"/>
    </x:xf>
    <x:xf numFmtId="0" fontId="3" fillId="24" borderId="0" xfId="0" applyNumberFormat="1" applyFont="1" applyFill="1" applyBorder="1" applyAlignment="1">
      <x:alignment horizontal="center" vertical="center" wrapText="1"/>
    </x:xf>
    <x:xf numFmtId="0" fontId="0" fillId="25" borderId="0" xfId="0" applyNumberFormat="1" applyFont="1" applyFill="1" applyBorder="1"/>
    <x:xf numFmtId="0" fontId="3" fillId="25" borderId="0" xfId="0" applyNumberFormat="1" applyFont="1" applyFill="1" applyBorder="1"/>
    <x:xf numFmtId="0" fontId="3" fillId="25" borderId="0" xfId="0" applyNumberFormat="1" applyFont="1" applyFill="1" applyBorder="1" applyAlignment="1">
      <x:alignment horizontal="center"/>
    </x:xf>
    <x:xf numFmtId="0" fontId="3" fillId="25" borderId="0" xfId="0" applyNumberFormat="1" applyFont="1" applyFill="1" applyBorder="1" applyAlignment="1">
      <x:alignment horizontal="center" wrapText="1"/>
    </x:xf>
    <x:xf numFmtId="0" fontId="0" fillId="26" borderId="0" xfId="0" applyNumberFormat="1" applyFont="1" applyFill="1" applyBorder="1"/>
    <x:xf numFmtId="0" fontId="3" fillId="26" borderId="0" xfId="0" applyNumberFormat="1" applyFont="1" applyFill="1" applyBorder="1"/>
    <x:xf numFmtId="0" fontId="3" fillId="26" borderId="0" xfId="0" applyNumberFormat="1" applyFont="1" applyFill="1" applyBorder="1" applyAlignment="1">
      <x:alignment horizontal="center"/>
    </x:xf>
    <x:xf numFmtId="0" fontId="3" fillId="26" borderId="0" xfId="0" applyNumberFormat="1" applyFont="1" applyFill="1" applyBorder="1" applyAlignment="1">
      <x:alignment horizontal="center" wrapText="1"/>
    </x:xf>
    <x:xf numFmtId="0" fontId="3" fillId="27" borderId="0" xfId="0" applyNumberFormat="1" applyFont="1" applyFill="1" applyBorder="1" applyAlignment="1">
      <x:alignment horizontal="center"/>
    </x:xf>
    <x:xf numFmtId="0" fontId="3" fillId="27" borderId="0" xfId="0" applyNumberFormat="1" applyFont="1" applyFill="1" applyBorder="1" applyAlignment="1">
      <x:alignment horizontal="center" wrapText="1"/>
    </x:xf>
    <x:xf numFmtId="0" fontId="0" fillId="28" borderId="0" xfId="0" applyNumberFormat="1" applyFont="1" applyFill="1" applyBorder="1"/>
    <x:xf numFmtId="0" fontId="3" fillId="28" borderId="0" xfId="0" applyNumberFormat="1" applyFont="1" applyFill="1" applyBorder="1"/>
    <x:xf numFmtId="0" fontId="3" fillId="28" borderId="0" xfId="0" applyNumberFormat="1" applyFont="1" applyFill="1" applyBorder="1" applyAlignment="1">
      <x:alignment horizontal="center"/>
    </x:xf>
    <x:xf numFmtId="0" fontId="3" fillId="28" borderId="0" xfId="0" applyNumberFormat="1" applyFont="1" applyFill="1" applyBorder="1" applyAlignment="1">
      <x:alignment horizontal="center" vertical="center"/>
    </x:xf>
    <x:xf numFmtId="0" fontId="3" fillId="28" borderId="0" xfId="0" applyNumberFormat="1" applyFont="1" applyFill="1" applyBorder="1" applyAlignment="1">
      <x:alignment horizontal="center" vertical="center" wrapText="1"/>
    </x:xf>
    <x:xf numFmtId="0" fontId="0" fillId="29" borderId="0" xfId="0" applyNumberFormat="1" applyFont="1" applyFill="1" applyBorder="1"/>
    <x:xf numFmtId="0" fontId="3" fillId="29" borderId="0" xfId="0" applyNumberFormat="1" applyFont="1" applyFill="1" applyBorder="1"/>
    <x:xf numFmtId="0" fontId="3" fillId="29" borderId="0" xfId="0" applyNumberFormat="1" applyFont="1" applyFill="1" applyBorder="1" applyAlignment="1">
      <x:alignment horizontal="center"/>
    </x:xf>
    <x:xf numFmtId="0" fontId="3" fillId="29" borderId="0" xfId="0" applyNumberFormat="1" applyFont="1" applyFill="1" applyBorder="1" applyAlignment="1">
      <x:alignment horizontal="center" vertical="center"/>
    </x:xf>
    <x:xf numFmtId="0" fontId="0" fillId="30" borderId="0" xfId="0" applyNumberFormat="1" applyFont="1" applyFill="1" applyBorder="1"/>
    <x:xf numFmtId="0" fontId="3" fillId="30" borderId="0" xfId="0" applyNumberFormat="1" applyFont="1" applyFill="1" applyBorder="1"/>
    <x:xf numFmtId="0" fontId="3" fillId="30" borderId="0" xfId="0" applyNumberFormat="1" applyFont="1" applyFill="1" applyBorder="1" applyAlignment="1">
      <x:alignment horizontal="center"/>
    </x:xf>
    <x:xf numFmtId="0" fontId="0" fillId="31" borderId="0" xfId="0" applyNumberFormat="1" applyFont="1" applyFill="1" applyBorder="1"/>
    <x:xf numFmtId="0" fontId="3" fillId="31" borderId="0" xfId="0" applyNumberFormat="1" applyFont="1" applyFill="1" applyBorder="1"/>
    <x:xf numFmtId="0" fontId="3" fillId="31" borderId="0" xfId="0" applyNumberFormat="1" applyFont="1" applyFill="1" applyBorder="1" applyAlignment="1">
      <x:alignment horizontal="center"/>
    </x:xf>
    <x:xf numFmtId="0" fontId="3" fillId="31" borderId="0" xfId="0" applyNumberFormat="1" applyFont="1" applyFill="1" applyBorder="1" applyAlignment="1">
      <x:alignment horizontal="center" wrapText="1"/>
    </x:xf>
    <x:xf numFmtId="0" fontId="3" fillId="9" borderId="0" xfId="0" applyNumberFormat="1" applyFont="1" applyFill="1" applyBorder="1" applyAlignment="1">
      <x:alignment horizontal="center" vertical="center"/>
    </x:xf>
    <x:xf numFmtId="0" fontId="0" fillId="32" borderId="0" xfId="0" applyNumberFormat="1" applyFont="1" applyFill="1" applyBorder="1"/>
    <x:xf numFmtId="0" fontId="3" fillId="32" borderId="0" xfId="0" applyNumberFormat="1" applyFont="1" applyFill="1" applyBorder="1"/>
    <x:xf numFmtId="0" fontId="3" fillId="32" borderId="0" xfId="0" applyNumberFormat="1" applyFont="1" applyFill="1" applyBorder="1" applyAlignment="1">
      <x:alignment wrapText="1"/>
    </x:xf>
    <x:xf numFmtId="0" fontId="3" fillId="32" borderId="0" xfId="0" applyNumberFormat="1" applyFont="1" applyFill="1" applyBorder="1" applyAlignment="1">
      <x:alignment horizontal="center" wrapText="1"/>
    </x:xf>
    <x:xf numFmtId="0" fontId="3" fillId="32" borderId="0" xfId="0" applyNumberFormat="1" applyFont="1" applyFill="1" applyBorder="1" applyAlignment="1">
      <x:alignment horizontal="center" vertical="center" wrapText="1"/>
    </x:xf>
    <x:xf numFmtId="0" fontId="0" fillId="33" borderId="0" xfId="0" applyNumberFormat="1" applyFont="1" applyFill="1" applyBorder="1"/>
    <x:xf numFmtId="0" fontId="3" fillId="33" borderId="0" xfId="0" applyNumberFormat="1" applyFont="1" applyFill="1" applyBorder="1"/>
    <x:xf numFmtId="0" fontId="3" fillId="33" borderId="0" xfId="0" applyNumberFormat="1" applyFont="1" applyFill="1" applyBorder="1" applyAlignment="1">
      <x:alignment wrapText="1"/>
    </x:xf>
    <x:xf numFmtId="0" fontId="3" fillId="33" borderId="0" xfId="0" applyNumberFormat="1" applyFont="1" applyFill="1" applyBorder="1" applyAlignment="1">
      <x:alignment horizontal="center" wrapText="1"/>
    </x:xf>
    <x:xf numFmtId="0" fontId="3" fillId="33" borderId="0" xfId="0" applyNumberFormat="1" applyFont="1" applyFill="1" applyBorder="1" applyAlignment="1">
      <x:alignment horizontal="center" vertical="center" wrapText="1"/>
    </x:xf>
    <x:xf numFmtId="0" fontId="0" fillId="34" borderId="0" xfId="0" applyNumberFormat="1" applyFont="1" applyFill="1" applyBorder="1"/>
    <x:xf numFmtId="0" fontId="3" fillId="34" borderId="0" xfId="0" applyNumberFormat="1" applyFont="1" applyFill="1" applyBorder="1"/>
    <x:xf numFmtId="0" fontId="3" fillId="34" borderId="0" xfId="0" applyNumberFormat="1" applyFont="1" applyFill="1" applyBorder="1" applyAlignment="1">
      <x:alignment wrapText="1"/>
    </x:xf>
    <x:xf numFmtId="0" fontId="3" fillId="34" borderId="0" xfId="0" applyNumberFormat="1" applyFont="1" applyFill="1" applyBorder="1" applyAlignment="1">
      <x:alignment horizontal="center" wrapText="1"/>
    </x:xf>
    <x:xf numFmtId="0" fontId="3" fillId="34" borderId="0" xfId="0" applyNumberFormat="1" applyFont="1" applyFill="1" applyBorder="1" applyAlignment="1">
      <x:alignment horizontal="center" vertical="center" wrapText="1"/>
    </x:xf>
    <x:xf numFmtId="0" fontId="3" fillId="18" borderId="0" xfId="0" applyNumberFormat="1" applyFont="1" applyFill="1" applyBorder="1" applyAlignment="1">
      <x:alignment horizontal="center" wrapText="1"/>
    </x:xf>
    <x:xf numFmtId="0" fontId="3" fillId="18" borderId="0" xfId="0" applyNumberFormat="1" applyFont="1" applyFill="1" applyBorder="1" applyAlignment="1">
      <x:alignment horizontal="center" vertical="center" wrapText="1"/>
    </x:xf>
    <x:xf numFmtId="0" fontId="0" fillId="35" borderId="0" xfId="0" applyNumberFormat="1" applyFont="1" applyFill="1" applyBorder="1"/>
    <x:xf numFmtId="0" fontId="3" fillId="35" borderId="0" xfId="0" applyNumberFormat="1" applyFont="1" applyFill="1" applyBorder="1"/>
    <x:xf numFmtId="0" fontId="3" fillId="35" borderId="0" xfId="0" applyNumberFormat="1" applyFont="1" applyFill="1" applyBorder="1" applyAlignment="1">
      <x:alignment horizontal="center"/>
    </x:xf>
    <x:xf numFmtId="0" fontId="3" fillId="35" borderId="0" xfId="0" applyNumberFormat="1" applyFont="1" applyFill="1" applyBorder="1" applyAlignment="1">
      <x:alignment horizontal="center" vertical="center"/>
    </x:xf>
    <x:xf numFmtId="0" fontId="3" fillId="35" borderId="0" xfId="0" applyNumberFormat="1" applyFont="1" applyFill="1" applyBorder="1" applyAlignment="1">
      <x:alignment horizontal="center" vertical="center" wrapText="1"/>
    </x:xf>
    <x:xf numFmtId="0" fontId="0" fillId="36" borderId="0" xfId="0" applyNumberFormat="1" applyFont="1" applyFill="1" applyBorder="1"/>
    <x:xf numFmtId="0" fontId="3" fillId="36" borderId="0" xfId="0" applyNumberFormat="1" applyFont="1" applyFill="1" applyBorder="1"/>
    <x:xf numFmtId="0" fontId="3" fillId="36" borderId="0" xfId="0" applyNumberFormat="1" applyFont="1" applyFill="1" applyBorder="1" applyAlignment="1">
      <x:alignment horizontal="center"/>
    </x:xf>
    <x:xf numFmtId="0" fontId="3" fillId="36" borderId="0" xfId="0" applyNumberFormat="1" applyFont="1" applyFill="1" applyBorder="1" applyAlignment="1">
      <x:alignment horizontal="center" vertical="center"/>
    </x:xf>
    <x:xf numFmtId="0" fontId="0" fillId="37" borderId="0" xfId="0" applyNumberFormat="1" applyFont="1" applyFill="1" applyBorder="1"/>
    <x:xf numFmtId="0" fontId="3" fillId="37" borderId="0" xfId="0" applyNumberFormat="1" applyFont="1" applyFill="1" applyBorder="1"/>
    <x:xf numFmtId="0" fontId="3" fillId="37" borderId="0" xfId="0" applyNumberFormat="1" applyFont="1" applyFill="1" applyBorder="1" applyAlignment="1">
      <x:alignment horizontal="center"/>
    </x:xf>
    <x:xf numFmtId="0" fontId="3" fillId="37" borderId="0" xfId="0" applyNumberFormat="1" applyFont="1" applyFill="1" applyBorder="1" applyAlignment="1">
      <x:alignment horizontal="center" vertical="center"/>
    </x:xf>
    <x:xf numFmtId="0" fontId="3" fillId="38" borderId="0" xfId="0" applyNumberFormat="1" applyFont="1" applyFill="1" applyBorder="1" applyAlignment="1">
      <x:alignment horizontal="center" wrapText="1"/>
    </x:xf>
    <x:xf numFmtId="0" fontId="3" fillId="38" borderId="0" xfId="0" applyNumberFormat="1" applyFont="1" applyFill="1" applyBorder="1" applyAlignment="1">
      <x:alignment horizontal="center" vertical="center" wrapText="1"/>
    </x:xf>
    <x:xf numFmtId="0" fontId="3" fillId="21" borderId="0" xfId="0" applyNumberFormat="1" applyFont="1" applyFill="1" applyBorder="1" applyAlignment="1">
      <x:alignment horizontal="center" vertical="center"/>
    </x:xf>
    <x:xf numFmtId="0" fontId="0" fillId="39" borderId="0" xfId="0" applyNumberFormat="1" applyFont="1" applyFill="1" applyBorder="1"/>
    <x:xf numFmtId="0" fontId="3" fillId="39" borderId="0" xfId="0" applyNumberFormat="1" applyFont="1" applyFill="1" applyBorder="1"/>
    <x:xf numFmtId="0" fontId="3" fillId="39" borderId="0" xfId="0" applyNumberFormat="1" applyFont="1" applyFill="1" applyBorder="1" applyAlignment="1">
      <x:alignment wrapText="1"/>
    </x:xf>
    <x:xf numFmtId="0" fontId="3" fillId="39" borderId="0" xfId="0" applyNumberFormat="1" applyFont="1" applyFill="1" applyBorder="1" applyAlignment="1">
      <x:alignment horizontal="center" wrapText="1"/>
    </x:xf>
    <x:xf numFmtId="0" fontId="3" fillId="39" borderId="0" xfId="0" applyNumberFormat="1" applyFont="1" applyFill="1" applyBorder="1" applyAlignment="1">
      <x:alignment horizontal="center" vertical="center" wrapText="1"/>
    </x:xf>
    <x:xf numFmtId="0" fontId="0" fillId="40" borderId="0" xfId="0" applyNumberFormat="1" applyFont="1" applyFill="1" applyBorder="1" applyAlignment="1">
      <x:alignment vertical="top" wrapText="1"/>
    </x:xf>
    <x:xf numFmtId="0" fontId="8" fillId="40" borderId="0" xfId="0" applyNumberFormat="1" applyFont="1" applyFill="1" applyBorder="1" applyAlignment="1">
      <x:alignment vertical="top" wrapText="1"/>
    </x:xf>
  </x:cellXfs>
  <x:cellStyles count="1">
    <x:cellStyle name="Normal" xfId="0"/>
  </x:cellStyles>
  <x:dxfs count="7">
    <x:dxf>
      <x:fill>
        <x:patternFill>
          <x:bgColor rgb="FFC6E0B4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CE4D6"/>
        </x:patternFill>
      </x:fill>
    </x:dxf>
    <x:dxf>
      <x:fill>
        <x:patternFill>
          <x:bgColor rgb="FFD9D9D9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b5ef9b4815f4b31" /><Relationship Type="http://schemas.openxmlformats.org/officeDocument/2006/relationships/theme" Target="/xl/theme/theme1.xml" Id="Rb42ff9d3a0274840" /><Relationship Type="http://schemas.microsoft.com/office/2022/11/relationships/FeaturePropertyBag" Target="/xl/featurePropertyBag/featurePropertyBag.xml" Id="R9826a5ec796d48d1" /><Relationship Type="http://schemas.openxmlformats.org/officeDocument/2006/relationships/sharedStrings" Target="/xl/sharedStrings.xml" Id="Rb08abdcabad04e0d" /><Relationship Type="http://schemas.openxmlformats.org/officeDocument/2006/relationships/worksheet" Target="/xl/worksheets/sheet1.xml" Id="Rbc8576f25b0d4967" /><Relationship Type="http://schemas.openxmlformats.org/officeDocument/2006/relationships/worksheet" Target="/xl/worksheets/sheet2.xml" Id="R367784b262c849cb" /><Relationship Type="http://schemas.openxmlformats.org/officeDocument/2006/relationships/worksheet" Target="/xl/worksheets/sheet3.xml" Id="R8c5c6ad2bc344f22" /><Relationship Type="http://schemas.openxmlformats.org/officeDocument/2006/relationships/worksheet" Target="/xl/worksheets/sheet4.xml" Id="Re478ad2a27b34c3b" /><Relationship Type="http://schemas.openxmlformats.org/officeDocument/2006/relationships/worksheet" Target="/xl/worksheets/sheet5.xml" Id="R01a18651783449fc" /><Relationship Type="http://schemas.openxmlformats.org/officeDocument/2006/relationships/worksheet" Target="/xl/worksheets/sheet6.xml" Id="R2c9af030d1c84f47" /><Relationship Type="http://schemas.openxmlformats.org/officeDocument/2006/relationships/worksheet" Target="/xl/worksheets/sheet7.xml" Id="R714e207e53224233" /><Relationship Type="http://schemas.openxmlformats.org/officeDocument/2006/relationships/worksheet" Target="/xl/worksheets/sheet8.xml" Id="Raeb30148744a4aeb" /><Relationship Type="http://schemas.openxmlformats.org/officeDocument/2006/relationships/worksheet" Target="/xl/worksheets/sheet9.xml" Id="Ra21ae714415e4ac0" /><Relationship Type="http://schemas.openxmlformats.org/officeDocument/2006/relationships/worksheet" Target="/xl/worksheets/sheet10.xml" Id="Re189f9a3a74b4394" /><Relationship Type="http://schemas.openxmlformats.org/officeDocument/2006/relationships/worksheet" Target="/xl/worksheets/sheet11.xml" Id="R5d8c48da0f9f432f" /><Relationship Type="http://schemas.openxmlformats.org/officeDocument/2006/relationships/worksheet" Target="/xl/worksheets/sheet12.xml" Id="R50dbb7e4254645d3" /><Relationship Type="http://schemas.openxmlformats.org/officeDocument/2006/relationships/worksheet" Target="/xl/worksheets/sheet13.xml" Id="R1fe0324b4d544d28" /><Relationship Type="http://schemas.openxmlformats.org/officeDocument/2006/relationships/worksheet" Target="/xl/worksheets/sheet14.xml" Id="R41c8d6d944c24779" /><Relationship Type="http://schemas.openxmlformats.org/officeDocument/2006/relationships/worksheet" Target="/xl/worksheets/sheet15.xml" Id="Rb3efb04050664305" /><Relationship Type="http://schemas.openxmlformats.org/officeDocument/2006/relationships/worksheet" Target="/xl/worksheets/sheet16.xml" Id="Rb768802ab64a46fe" /><Relationship Type="http://schemas.openxmlformats.org/officeDocument/2006/relationships/worksheet" Target="/xl/worksheets/sheet17.xml" Id="R78f11a4e75014472" /><Relationship Type="http://schemas.openxmlformats.org/officeDocument/2006/relationships/worksheet" Target="/xl/worksheets/sheet18.xml" Id="R85021d5ec6244913" /><Relationship Type="http://schemas.openxmlformats.org/officeDocument/2006/relationships/worksheet" Target="/xl/worksheets/sheet19.xml" Id="Ra0edbcbda2264e11" /><Relationship Type="http://schemas.openxmlformats.org/officeDocument/2006/relationships/worksheet" Target="/xl/worksheets/sheet20.xml" Id="Re97929cfd22a4195" /><Relationship Type="http://schemas.openxmlformats.org/officeDocument/2006/relationships/worksheet" Target="/xl/worksheets/sheet21.xml" Id="Re069526b61864c3b" /><Relationship Type="http://schemas.openxmlformats.org/officeDocument/2006/relationships/worksheet" Target="/xl/worksheets/sheet22.xml" Id="R7f62150efa0b48f0" /><Relationship Type="http://schemas.openxmlformats.org/officeDocument/2006/relationships/worksheet" Target="/xl/worksheets/sheet23.xml" Id="Rc448e21dd871404d" /><Relationship Type="http://schemas.openxmlformats.org/officeDocument/2006/relationships/worksheet" Target="/xl/worksheets/sheet24.xml" Id="R2dd4b5dd86e64cd7" /><Relationship Type="http://schemas.openxmlformats.org/officeDocument/2006/relationships/worksheet" Target="/xl/worksheets/sheet25.xml" Id="Rad8c848a0165480d" /><Relationship Type="http://schemas.openxmlformats.org/officeDocument/2006/relationships/worksheet" Target="/xl/worksheets/sheet26.xml" Id="R0a8075c99dd941dc" /><Relationship Type="http://schemas.openxmlformats.org/officeDocument/2006/relationships/worksheet" Target="/xl/worksheets/sheet27.xml" Id="R82e76167b34f4e60" /><Relationship Type="http://schemas.openxmlformats.org/officeDocument/2006/relationships/worksheet" Target="/xl/worksheets/sheet28.xml" Id="R89000cf9255e45fb" /><Relationship Type="http://schemas.openxmlformats.org/officeDocument/2006/relationships/worksheet" Target="/xl/worksheets/sheet29.xml" Id="R9799fe0a376541e3" /><Relationship Type="http://schemas.openxmlformats.org/officeDocument/2006/relationships/worksheet" Target="/xl/worksheets/sheet30.xml" Id="R04ae218a38d649b3" /><Relationship Type="http://schemas.openxmlformats.org/officeDocument/2006/relationships/worksheet" Target="/xl/worksheets/sheet31.xml" Id="Raf399c281922432b" /><Relationship Type="http://schemas.openxmlformats.org/officeDocument/2006/relationships/worksheet" Target="/xl/worksheets/sheet32.xml" Id="Rb0bf54f1b5664b34" /><Relationship Type="http://schemas.openxmlformats.org/officeDocument/2006/relationships/worksheet" Target="/xl/worksheets/sheet33.xml" Id="R70ead5ddf9604fb5" /><Relationship Type="http://schemas.openxmlformats.org/officeDocument/2006/relationships/worksheet" Target="/xl/worksheets/sheet34.xml" Id="Rddd664175fca4cbd" /><Relationship Type="http://schemas.openxmlformats.org/officeDocument/2006/relationships/worksheet" Target="/xl/worksheets/sheet35.xml" Id="R5d72f3882d264991" /><Relationship Type="http://schemas.openxmlformats.org/officeDocument/2006/relationships/worksheet" Target="/xl/worksheets/sheet36.xml" Id="Rb0d30fe14e6b4963" /><Relationship Type="http://schemas.openxmlformats.org/officeDocument/2006/relationships/worksheet" Target="/xl/worksheets/sheet37.xml" Id="R5e7c1b4ae4184a34" /><Relationship Type="http://schemas.openxmlformats.org/officeDocument/2006/relationships/worksheet" Target="/xl/worksheets/sheet38.xml" Id="Rd287b70cfa7e4fbd" /><Relationship Type="http://schemas.openxmlformats.org/officeDocument/2006/relationships/worksheet" Target="/xl/worksheets/sheet39.xml" Id="R5a804648cfb54471" /><Relationship Type="http://schemas.openxmlformats.org/officeDocument/2006/relationships/worksheet" Target="/xl/worksheets/sheet40.xml" Id="Ree75dc2327a94201" /><Relationship Type="http://schemas.openxmlformats.org/officeDocument/2006/relationships/worksheet" Target="/xl/worksheets/sheet41.xml" Id="R269311aded8148f8" /><Relationship Type="http://schemas.openxmlformats.org/officeDocument/2006/relationships/worksheet" Target="/xl/worksheets/sheet42.xml" Id="R824554c69fc3431d" /><Relationship Type="http://schemas.openxmlformats.org/officeDocument/2006/relationships/worksheet" Target="/xl/worksheets/sheet43.xml" Id="R8fd33a7bf91448ba" /><Relationship Type="http://schemas.openxmlformats.org/officeDocument/2006/relationships/worksheet" Target="/xl/worksheets/sheet44.xml" Id="Rb2b24ec7426e4f96" /><Relationship Type="http://schemas.openxmlformats.org/officeDocument/2006/relationships/worksheet" Target="/xl/worksheets/sheet45.xml" Id="R13f8f9276da34dfd" /><Relationship Type="http://schemas.openxmlformats.org/officeDocument/2006/relationships/worksheet" Target="/xl/worksheets/sheet46.xml" Id="R20279a28ad1e4d2a" /><Relationship Type="http://schemas.openxmlformats.org/officeDocument/2006/relationships/worksheet" Target="/xl/worksheets/sheet47.xml" Id="Rb9b8180a40e94e56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RydbergEcosystemTable" displayName="RydbergEcosystemTable" ref="A1:AM51" headerRowCount="1">
  <x:tableColumns count="39">
    <x:tableColumn id="1" name="entry_id"/>
    <x:tableColumn id="2" name="name"/>
    <x:tableColumn id="3" name="entity_type"/>
    <x:tableColumn id="4" name="status"/>
    <x:tableColumn id="5" name="confidence"/>
    <x:tableColumn id="6" name="core_relevance_score"/>
    <x:tableColumn id="7" name="PI_or_leads"/>
    <x:tableColumn id="8" name="institution"/>
    <x:tableColumn id="9" name="department_or_unit"/>
    <x:tableColumn id="10" name="city"/>
    <x:tableColumn id="11" name="region_state"/>
    <x:tableColumn id="12" name="country"/>
    <x:tableColumn id="13" name="latitude"/>
    <x:tableColumn id="14" name="longitude"/>
    <x:tableColumn id="15" name="website"/>
    <x:tableColumn id="16" name="contact_page"/>
    <x:tableColumn id="17" name="email_public"/>
    <x:tableColumn id="18" name="platform_tags"/>
    <x:tableColumn id="19" name="species"/>
    <x:tableColumn id="20" name="rydberg_role"/>
    <x:tableColumn id="21" name="optical_tweezers"/>
    <x:tableColumn id="22" name="experimental_mode"/>
    <x:tableColumn id="23" name="theory_mode"/>
    <x:tableColumn id="24" name="company_or_spinout"/>
    <x:tableColumn id="25" name="related_company"/>
    <x:tableColumn id="26" name="key_papers"/>
    <x:tableColumn id="27" name="recent_paper_year"/>
    <x:tableColumn id="28" name="last_verified"/>
    <x:tableColumn id="29" name="source_url_1"/>
    <x:tableColumn id="30" name="source_url_2"/>
    <x:tableColumn id="31" name="source_url_3"/>
    <x:tableColumn id="32" name="review_seed_source"/>
    <x:tableColumn id="33" name="arxiv_query_hit"/>
    <x:tableColumn id="34" name="openalex_id"/>
    <x:tableColumn id="35" name="semantic_scholar_id"/>
    <x:tableColumn id="36" name="ror_id"/>
    <x:tableColumn id="37" name="notes"/>
    <x:tableColumn id="38" name="todo_next"/>
    <x:tableColumn id="39" name="Column39"/>
  </x:tableColumns>
  <x:tableStyleInfo name="TableStyleMedium2" showRowStripes="1"/>
</x:table>
</file>

<file path=xl/tables/table2.xml><?xml version="1.0" encoding="utf-8"?>
<x:table xmlns:x="http://schemas.openxmlformats.org/spreadsheetml/2006/main" id="7" name="DatabaseTable_v02" displayName="DatabaseTable_v02" ref="A1:AL28" headerRowCount="1">
  <x:tableColumns count="38">
    <x:tableColumn id="1" name="entry_id"/>
    <x:tableColumn id="2" name="name"/>
    <x:tableColumn id="3" name="entity_type"/>
    <x:tableColumn id="4" name="status"/>
    <x:tableColumn id="5" name="confidence"/>
    <x:tableColumn id="6" name="core_relevance_score"/>
    <x:tableColumn id="7" name="PI_or_leads"/>
    <x:tableColumn id="8" name="institution"/>
    <x:tableColumn id="9" name="department_or_unit"/>
    <x:tableColumn id="10" name="city"/>
    <x:tableColumn id="11" name="region_state"/>
    <x:tableColumn id="12" name="country"/>
    <x:tableColumn id="13" name="latitude"/>
    <x:tableColumn id="14" name="longitude"/>
    <x:tableColumn id="15" name="website"/>
    <x:tableColumn id="16" name="contact_page"/>
    <x:tableColumn id="17" name="email_public"/>
    <x:tableColumn id="18" name="platform_tags"/>
    <x:tableColumn id="19" name="species"/>
    <x:tableColumn id="20" name="rydberg_role"/>
    <x:tableColumn id="21" name="optical_tweezers"/>
    <x:tableColumn id="22" name="experimental_mode"/>
    <x:tableColumn id="23" name="theory_mode"/>
    <x:tableColumn id="24" name="company_or_spinout"/>
    <x:tableColumn id="25" name="related_company"/>
    <x:tableColumn id="26" name="key_papers"/>
    <x:tableColumn id="27" name="recent_paper_year"/>
    <x:tableColumn id="28" name="last_verified"/>
    <x:tableColumn id="29" name="source_url_1"/>
    <x:tableColumn id="30" name="source_url_2"/>
    <x:tableColumn id="31" name="source_url_3"/>
    <x:tableColumn id="32" name="review_seed_source"/>
    <x:tableColumn id="33" name="arxiv_query_hit"/>
    <x:tableColumn id="34" name="openalex_id"/>
    <x:tableColumn id="35" name="semantic_scholar_id"/>
    <x:tableColumn id="36" name="ror_id"/>
    <x:tableColumn id="37" name="notes"/>
    <x:tableColumn id="38" name="todo_next"/>
  </x:tableColumns>
  <x:tableStyleInfo name="TableStyleMedium2" showRowStripes="1"/>
</x:table>
</file>

<file path=xl/tables/table3.xml><?xml version="1.0" encoding="utf-8"?>
<x:table xmlns:x="http://schemas.openxmlformats.org/spreadsheetml/2006/main" id="2" name="ReviewSeedsTable" displayName="ReviewSeedsTable" ref="A1:H6" headerRowCount="1">
  <x:tableColumns count="8">
    <x:tableColumn id="1" name="seed_id"/>
    <x:tableColumn id="2" name="review_or_perspective_title"/>
    <x:tableColumn id="3" name="year"/>
    <x:tableColumn id="4" name="area"/>
    <x:tableColumn id="5" name="why_useful"/>
    <x:tableColumn id="6" name="source_url_or_doi"/>
    <x:tableColumn id="7" name="status"/>
    <x:tableColumn id="8" name="notes"/>
  </x:tableColumns>
  <x:tableStyleInfo name="TableStyleMedium2" showRowStripes="1"/>
</x:table>
</file>

<file path=xl/tables/table4.xml><?xml version="1.0" encoding="utf-8"?>
<x:table xmlns:x="http://schemas.openxmlformats.org/spreadsheetml/2006/main" id="8" name="ReviewSeedsTable_v02" displayName="ReviewSeedsTable_v02" ref="A1:H9" headerRowCount="1">
  <x:tableColumns count="8">
    <x:tableColumn id="1" name="seed_id"/>
    <x:tableColumn id="2" name="review_or_perspective_title"/>
    <x:tableColumn id="3" name="year"/>
    <x:tableColumn id="4" name="area"/>
    <x:tableColumn id="5" name="why_useful"/>
    <x:tableColumn id="6" name="source_url_or_doi"/>
    <x:tableColumn id="7" name="status"/>
    <x:tableColumn id="8" name="notes"/>
  </x:tableColumns>
  <x:tableStyleInfo name="TableStyleMedium2" showRowStripes="1"/>
</x:table>
</file>

<file path=xl/tables/table5.xml><?xml version="1.0" encoding="utf-8"?>
<x:table xmlns:x="http://schemas.openxmlformats.org/spreadsheetml/2006/main" id="3" name="ArxivQueriesTable" displayName="ArxivQueriesTable" ref="A1:I9" headerRowCount="1">
  <x:tableColumns count="9">
    <x:tableColumn id="1" name="query_id"/>
    <x:tableColumn id="2" name="query_text"/>
    <x:tableColumn id="3" name="target_bucket"/>
    <x:tableColumn id="4" name="include_reason"/>
    <x:tableColumn id="5" name="exclude_notes"/>
    <x:tableColumn id="6" name="date_run"/>
    <x:tableColumn id="7" name="results_count"/>
    <x:tableColumn id="8" name="status"/>
    <x:tableColumn id="9" name="notes"/>
  </x:tableColumns>
  <x:tableStyleInfo name="TableStyleMedium2" showRowStripes="1"/>
</x:table>
</file>

<file path=xl/tables/table6.xml><?xml version="1.0" encoding="utf-8"?>
<x:table xmlns:x="http://schemas.openxmlformats.org/spreadsheetml/2006/main" id="9" name="ArxivQueriesTable_v02" displayName="ArxivQueriesTable_v02" ref="A1:I9" headerRowCount="1">
  <x:tableColumns count="9">
    <x:tableColumn id="1" name="query_id"/>
    <x:tableColumn id="2" name="query_text"/>
    <x:tableColumn id="3" name="target_bucket"/>
    <x:tableColumn id="4" name="include_reason"/>
    <x:tableColumn id="5" name="exclude_notes"/>
    <x:tableColumn id="6" name="date_run"/>
    <x:tableColumn id="7" name="results_count"/>
    <x:tableColumn id="8" name="status"/>
    <x:tableColumn id="9" name="notes"/>
  </x:tableColumns>
  <x:tableStyleInfo name="TableStyleMedium2" showRowStripes="1"/>
</x:table>
</file>

<file path=xl/tables/table7.xml><?xml version="1.0" encoding="utf-8"?>
<x:table xmlns:x="http://schemas.openxmlformats.org/spreadsheetml/2006/main" id="4" name="TaxonomyTable" displayName="TaxonomyTable" ref="A1:E11" headerRowCount="1">
  <x:tableColumns count="5">
    <x:tableColumn id="1" name="Field"/>
    <x:tableColumn id="2" name="Allowed values / examples"/>
    <x:tableColumn id="3" name="Definition"/>
    <x:tableColumn id="4" name="Use for filtering"/>
    <x:tableColumn id="5" name="Notes"/>
  </x:tableColumns>
  <x:tableStyleInfo name="TableStyleMedium2" showRowStripes="1"/>
</x:table>
</file>

<file path=xl/tables/table8.xml><?xml version="1.0" encoding="utf-8"?>
<x:table xmlns:x="http://schemas.openxmlformats.org/spreadsheetml/2006/main" id="5" name="VersionLogTable" displayName="VersionLogTable" ref="A1:H2" headerRowCount="1">
  <x:tableColumns count="8">
    <x:tableColumn id="1" name="version"/>
    <x:tableColumn id="2" name="date"/>
    <x:tableColumn id="3" name="change_type"/>
    <x:tableColumn id="4" name="description"/>
    <x:tableColumn id="5" name="entries_added"/>
    <x:tableColumn id="6" name="entries_modified"/>
    <x:tableColumn id="7" name="file_name"/>
    <x:tableColumn id="8" name="notes"/>
  </x:tableColumns>
  <x:tableStyleInfo name="TableStyleMedium2" showRowStripes="1"/>
</x:table>
</file>

<file path=xl/tables/table9.xml><?xml version="1.0" encoding="utf-8"?>
<x:table xmlns:x="http://schemas.openxmlformats.org/spreadsheetml/2006/main" id="6" name="CandidateStagingTable" displayName="CandidateStagingTable" ref="A1:N51" headerRowCount="1">
  <x:tableColumns count="14">
    <x:tableColumn id="1" name="candidate_id"/>
    <x:tableColumn id="2" name="raw_name"/>
    <x:tableColumn id="3" name="raw_affiliation"/>
    <x:tableColumn id="4" name="raw_authors"/>
    <x:tableColumn id="5" name="paper_title"/>
    <x:tableColumn id="6" name="year"/>
    <x:tableColumn id="7" name="source_type"/>
    <x:tableColumn id="8" name="source_id_or_url"/>
    <x:tableColumn id="9" name="detected_keywords"/>
    <x:tableColumn id="10" name="possible_country"/>
    <x:tableColumn id="11" name="possible_city"/>
    <x:tableColumn id="12" name="proposed_entry_id"/>
    <x:tableColumn id="13" name="curation_decision"/>
    <x:tableColumn id="14" name="curator_notes"/>
  </x:tableColumns>
  <x:tableStyleInfo name="TableStyleMedium2" showRowStripes="1"/>
</x:table>
</file>

<file path=xl/tables/table10.xml><?xml version="1.0" encoding="utf-8"?>
<x:table xmlns:x="http://schemas.openxmlformats.org/spreadsheetml/2006/main" id="10" name="CandidateStagingTable_v02" displayName="CandidateStagingTable_v02" ref="A1:N9" headerRowCount="1">
  <x:tableColumns count="14">
    <x:tableColumn id="1" name="candidate_id"/>
    <x:tableColumn id="2" name="raw_name"/>
    <x:tableColumn id="3" name="raw_affiliation"/>
    <x:tableColumn id="4" name="raw_authors"/>
    <x:tableColumn id="5" name="paper_title"/>
    <x:tableColumn id="6" name="year"/>
    <x:tableColumn id="7" name="source_type"/>
    <x:tableColumn id="8" name="source_id_or_url"/>
    <x:tableColumn id="9" name="detected_keywords"/>
    <x:tableColumn id="10" name="possible_country"/>
    <x:tableColumn id="11" name="possible_city"/>
    <x:tableColumn id="12" name="proposed_entry_id"/>
    <x:tableColumn id="13" name="curation_decision"/>
    <x:tableColumn id="14" name="curator_notes"/>
  </x:tableColumns>
  <x:tableStyleInfo name="TableStyleMedium2" showRowStripes="1"/>
</x:table>
</file>

<file path=xl/tables/table11.xml><?xml version="1.0" encoding="utf-8"?>
<x:table xmlns:x="http://schemas.openxmlformats.org/spreadsheetml/2006/main" id="11" name="ArxivPIMapTable" displayName="ArxivPIMapTable" ref="A1:AH100" headerRowCount="1">
  <x:tableColumns count="34">
    <x:tableColumn id="1" name="record_id"/>
    <x:tableColumn id="2" name="query_id"/>
    <x:tableColumn id="3" name="search_bucket"/>
    <x:tableColumn id="4" name="arxiv_id"/>
    <x:tableColumn id="5" name="arxiv_version"/>
    <x:tableColumn id="6" name="title"/>
    <x:tableColumn id="7" name="year"/>
    <x:tableColumn id="8" name="published_date"/>
    <x:tableColumn id="9" name="updated_date"/>
    <x:tableColumn id="10" name="primary_category"/>
    <x:tableColumn id="11" name="all_categories"/>
    <x:tableColumn id="12" name="matched_keywords"/>
    <x:tableColumn id="13" name="include_decision"/>
    <x:tableColumn id="14" name="decision_reason"/>
    <x:tableColumn id="15" name="last_author_raw"/>
    <x:tableColumn id="16" name="last_author_normalized"/>
    <x:tableColumn id="17" name="last_author_is_PI_assumption"/>
    <x:tableColumn id="18" name="last_author_affiliation_raw"/>
    <x:tableColumn id="19" name="affiliation_source"/>
    <x:tableColumn id="20" name="institution_normalized"/>
    <x:tableColumn id="21" name="ror_id"/>
    <x:tableColumn id="22" name="city"/>
    <x:tableColumn id="23" name="country"/>
    <x:tableColumn id="24" name="latitude"/>
    <x:tableColumn id="25" name="longitude"/>
    <x:tableColumn id="26" name="database_entity_id"/>
    <x:tableColumn id="27" name="entity_match_status"/>
    <x:tableColumn id="28" name="doi"/>
    <x:tableColumn id="29" name="arxiv_abs_url"/>
    <x:tableColumn id="30" name="arxiv_pdf_url"/>
    <x:tableColumn id="31" name="other_source_url"/>
    <x:tableColumn id="32" name="confidence"/>
    <x:tableColumn id="33" name="curator_notes"/>
    <x:tableColumn id="34" name="needs_manual_check"/>
  </x:tableColumns>
  <x:tableStyleInfo name="TableStyleMedium2" showRowStripes="1"/>
</x:table>
</file>

<file path=xl/tables/table12.xml><?xml version="1.0" encoding="utf-8"?>
<x:table xmlns:x="http://schemas.openxmlformats.org/spreadsheetml/2006/main" id="12" name="ArxivPIAggregateTable" displayName="ArxivPIAggregateTable" ref="A1:T100" headerRowCount="1">
  <x:tableColumns count="20">
    <x:tableColumn id="1" name="pi_record_id"/>
    <x:tableColumn id="2" name="last_author_normalized"/>
    <x:tableColumn id="3" name="primary_institution"/>
    <x:tableColumn id="4" name="ror_id"/>
    <x:tableColumn id="5" name="city"/>
    <x:tableColumn id="6" name="country"/>
    <x:tableColumn id="7" name="entity_type_guess"/>
    <x:tableColumn id="8" name="database_entity_id"/>
    <x:tableColumn id="9" name="n_papers_2024"/>
    <x:tableColumn id="10" name="n_papers_2025"/>
    <x:tableColumn id="11" name="n_papers_2026"/>
    <x:tableColumn id="12" name="n_total_2024_2026"/>
    <x:tableColumn id="13" name="core_paper_count"/>
    <x:tableColumn id="14" name="theory_paper_count"/>
    <x:tableColumn id="15" name="experimental_paper_count"/>
    <x:tableColumn id="16" name="example_arxiv_ids"/>
    <x:tableColumn id="17" name="example_titles"/>
    <x:tableColumn id="18" name="classification_proposal"/>
    <x:tableColumn id="19" name="confidence"/>
    <x:tableColumn id="20" name="notes"/>
  </x:tableColumns>
  <x:tableStyleInfo name="TableStyleMedium2" showRowStripes="1"/>
</x:table>
</file>

<file path=xl/tables/table13.xml><?xml version="1.0" encoding="utf-8"?>
<x:table xmlns:x="http://schemas.openxmlformats.org/spreadsheetml/2006/main" id="13" name="AffiliationCleanupV12" displayName="AffiliationCleanupV12" ref="A1:N18" headerRowCount="1">
  <x:tableColumns count="14">
    <x:tableColumn id="1" name="record_id"/>
    <x:tableColumn id="2" name="arxiv_id"/>
    <x:tableColumn id="3" name="title_short"/>
    <x:tableColumn id="4" name="year"/>
    <x:tableColumn id="5" name="last_author"/>
    <x:tableColumn id="6" name="resolved_institution"/>
    <x:tableColumn id="7" name="city"/>
    <x:tableColumn id="8" name="country"/>
    <x:tableColumn id="9" name="evidence_url"/>
    <x:tableColumn id="10" name="evidence_quality"/>
    <x:tableColumn id="11" name="recommended_action"/>
    <x:tableColumn id="12" name="database_action"/>
    <x:tableColumn id="13" name="classification"/>
    <x:tableColumn id="14" name="notes"/>
  </x:tableColumns>
  <x:tableStyleInfo name="TableStyleMedium2" showRowStripes="1"/>
</x:table>
</file>

<file path=xl/tables/table14.xml><?xml version="1.0" encoding="utf-8"?>
<x:table xmlns:x="http://schemas.openxmlformats.org/spreadsheetml/2006/main" id="14" name="ReviewRefsV19" displayName="ReviewRefsV19" ref="A1:M21" headerRowCount="1">
  <x:tableColumns count="13">
    <x:tableColumn id="1" name="ref_id"/>
    <x:tableColumn id="2" name="review_id"/>
    <x:tableColumn id="3" name="authors_or_key"/>
    <x:tableColumn id="4" name="title"/>
    <x:tableColumn id="5" name="year"/>
    <x:tableColumn id="6" name="category"/>
    <x:tableColumn id="7" name="tags"/>
    <x:tableColumn id="8" name="likely_node"/>
    <x:tableColumn id="9" name="coverage_status"/>
    <x:tableColumn id="10" name="action"/>
    <x:tableColumn id="11" name="priority"/>
    <x:tableColumn id="12" name="source_url"/>
    <x:tableColumn id="13" name="notes"/>
  </x:tableColumns>
  <x:tableStyleInfo name="TableStyleMedium2" showRowStripes="1"/>
</x:table>
</file>

<file path=xl/tables/table15.xml><?xml version="1.0" encoding="utf-8"?>
<x:table xmlns:x="http://schemas.openxmlformats.org/spreadsheetml/2006/main" id="15" name="ReviewRunV19" displayName="ReviewRunV19" ref="A1:M3" headerRowCount="1">
  <x:tableColumns count="13">
    <x:tableColumn id="1" name="run_id"/>
    <x:tableColumn id="2" name="date"/>
    <x:tableColumn id="3" name="review_id"/>
    <x:tableColumn id="4" name="review_title"/>
    <x:tableColumn id="5" name="references_screened"/>
    <x:tableColumn id="6" name="new_reference_rows"/>
    <x:tableColumn id="7" name="new_A_nodes"/>
    <x:tableColumn id="8" name="B_candidates"/>
    <x:tableColumn id="9" name="C_or_boundary"/>
    <x:tableColumn id="10" name="already_covered_or_duplicate"/>
    <x:tableColumn id="11" name="decision"/>
    <x:tableColumn id="12" name="next_action"/>
    <x:tableColumn id="13" name="source_url"/>
  </x:tableColumns>
  <x:tableStyleInfo name="TableStyleMedium2" showRowStripes="1"/>
</x:table>
</file>

<file path=xl/tables/table16.xml><?xml version="1.0" encoding="utf-8"?>
<x:table xmlns:x="http://schemas.openxmlformats.org/spreadsheetml/2006/main" id="16" name="PendingRefsV21" displayName="PendingRefsV21" ref="A1:K5" headerRowCount="1">
  <x:tableColumns count="11">
    <x:tableColumn id="1" name="ref_id"/>
    <x:tableColumn id="2" name="previous_label"/>
    <x:tableColumn id="3" name="resolved_title_or_match"/>
    <x:tableColumn id="4" name="year"/>
    <x:tableColumn id="5" name="resolved_last_author_or_node"/>
    <x:tableColumn id="6" name="resolved_affiliation_or_node"/>
    <x:tableColumn id="7" name="decision"/>
    <x:tableColumn id="8" name="confidence"/>
    <x:tableColumn id="9" name="database_action"/>
    <x:tableColumn id="10" name="source_url"/>
    <x:tableColumn id="11" name="notes"/>
  </x:tableColumns>
  <x:tableStyleInfo name="TableStyleMedium2" showRowStripes="1"/>
</x:table>
</file>

<file path=xl/tables/table17.xml><?xml version="1.0" encoding="utf-8"?>
<x:table xmlns:x="http://schemas.openxmlformats.org/spreadsheetml/2006/main" id="17" name="ExhaustionDashboardV21" displayName="ExhaustionDashboardV21" ref="A1:E9" headerRowCount="1">
  <x:tableColumns count="5">
    <x:tableColumn id="1" name="metric"/>
    <x:tableColumn id="2" name="current_status_v2_1"/>
    <x:tableColumn id="3" name="target_for_operational_exhaustion"/>
    <x:tableColumn id="4" name="gap"/>
    <x:tableColumn id="5" name="recommended_next_action"/>
  </x:tableColumns>
  <x:tableStyleInfo name="TableStyleMedium2" showRowStripes="1"/>
</x:table>
</file>

<file path=xl/tables/table18.xml><?xml version="1.0" encoding="utf-8"?>
<x:table xmlns:x="http://schemas.openxmlformats.org/spreadsheetml/2006/main" id="18" name="SourceCoverageV21" displayName="SourceCoverageV21" ref="A1:G9" headerRowCount="1">
  <x:tableColumns count="7">
    <x:tableColumn id="1" name="source_family"/>
    <x:tableColumn id="2" name="purpose"/>
    <x:tableColumn id="3" name="coverage_status"/>
    <x:tableColumn id="4" name="v2_1_action"/>
    <x:tableColumn id="5" name="exhaustion_signal"/>
    <x:tableColumn id="6" name="source_or_doc_url"/>
    <x:tableColumn id="7" name="notes"/>
  </x:tableColumns>
  <x:tableStyleInfo name="TableStyleMedium2" showRowStripes="1"/>
</x:table>
</file>

<file path=xl/tables/table19.xml><?xml version="1.0" encoding="utf-8"?>
<x:table xmlns:x="http://schemas.openxmlformats.org/spreadsheetml/2006/main" id="19" name="NextRunQueueV21" displayName="NextRunQueueV21" ref="A1:G7" headerRowCount="1">
  <x:tableColumns count="7">
    <x:tableColumn id="1" name="priority"/>
    <x:tableColumn id="2" name="task_id"/>
    <x:tableColumn id="3" name="task"/>
    <x:tableColumn id="4" name="source_family"/>
    <x:tableColumn id="5" name="expected_output"/>
    <x:tableColumn id="6" name="promotion_policy"/>
    <x:tableColumn id="7" name="statu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925d4c1c199459d" /><Relationship Type="http://schemas.openxmlformats.org/officeDocument/2006/relationships/table" Target="/xl/tables/table2.xml" Id="R8a82ecdb2d3f47a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a452feb2455f460f" /><Relationship Type="http://schemas.openxmlformats.org/officeDocument/2006/relationships/table" Target="/xl/tables/table4.xml" Id="R7ac0c5e905d241c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5.xml" Id="Rea77d60c1f4f49d7" /><Relationship Type="http://schemas.openxmlformats.org/officeDocument/2006/relationships/table" Target="/xl/tables/table6.xml" Id="R4bf57593edb84c1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7.xml" Id="R9075044fb75e41c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8.xml" Id="Ref06326269df465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9.xml" Id="R47610e5a5dfa4288" /><Relationship Type="http://schemas.openxmlformats.org/officeDocument/2006/relationships/table" Target="/xl/tables/table10.xml" Id="R0e5545020af74825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1.xml" Id="Rabfeef4c29824d3f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2.xml" Id="R2f647faa18344b08" /></Relationships>
</file>

<file path=xl/worksheets/_rels/sheet19.xml.rels>&#65279;<?xml version="1.0" encoding="utf-8"?><Relationships xmlns="http://schemas.openxmlformats.org/package/2006/relationships"><Relationship Type="http://schemas.openxmlformats.org/officeDocument/2006/relationships/table" Target="/xl/tables/table13.xml" Id="R5b8a8c01f5b44f1f" /></Relationships>
</file>

<file path=xl/worksheets/_rels/sheet38.xml.rels>&#65279;<?xml version="1.0" encoding="utf-8"?><Relationships xmlns="http://schemas.openxmlformats.org/package/2006/relationships"><Relationship Type="http://schemas.openxmlformats.org/officeDocument/2006/relationships/table" Target="/xl/tables/table14.xml" Id="Rd8babf8e3d024fb8" /></Relationships>
</file>

<file path=xl/worksheets/_rels/sheet39.xml.rels>&#65279;<?xml version="1.0" encoding="utf-8"?><Relationships xmlns="http://schemas.openxmlformats.org/package/2006/relationships"><Relationship Type="http://schemas.openxmlformats.org/officeDocument/2006/relationships/table" Target="/xl/tables/table15.xml" Id="R77d2157b15a2491c" /></Relationships>
</file>

<file path=xl/worksheets/_rels/sheet43.xml.rels>&#65279;<?xml version="1.0" encoding="utf-8"?><Relationships xmlns="http://schemas.openxmlformats.org/package/2006/relationships"><Relationship Type="http://schemas.openxmlformats.org/officeDocument/2006/relationships/table" Target="/xl/tables/table16.xml" Id="Rc2b636e868514182" /></Relationships>
</file>

<file path=xl/worksheets/_rels/sheet44.xml.rels>&#65279;<?xml version="1.0" encoding="utf-8"?><Relationships xmlns="http://schemas.openxmlformats.org/package/2006/relationships"><Relationship Type="http://schemas.openxmlformats.org/officeDocument/2006/relationships/table" Target="/xl/tables/table17.xml" Id="R48bb7d64919c401c" /></Relationships>
</file>

<file path=xl/worksheets/_rels/sheet45.xml.rels>&#65279;<?xml version="1.0" encoding="utf-8"?><Relationships xmlns="http://schemas.openxmlformats.org/package/2006/relationships"><Relationship Type="http://schemas.openxmlformats.org/officeDocument/2006/relationships/table" Target="/xl/tables/table18.xml" Id="Rdf0b3cfaf3bf47c6" /></Relationships>
</file>

<file path=xl/worksheets/_rels/sheet46.xml.rels>&#65279;<?xml version="1.0" encoding="utf-8"?><Relationships xmlns="http://schemas.openxmlformats.org/package/2006/relationships"><Relationship Type="http://schemas.openxmlformats.org/officeDocument/2006/relationships/table" Target="/xl/tables/table19.xml" Id="R2a95008d8caf4561" /></Relationships>
</file>

<file path=xl/worksheets/sheet1.xml><?xml version="1.0" encoding="utf-8"?>
<x:worksheet xmlns:x="http://schemas.openxmlformats.org/spreadsheetml/2006/main">
  <x:sheetFormatPr defaultRowHeight="15"/>
  <x:cols>
    <x:col min="1" max="1" width="42.5" hidden="0" customWidth="1"/>
    <x:col min="2" max="2" width="3.75" hidden="0" customWidth="1"/>
  </x:cols>
  <x:sheetData>
    <x:row r="1">
      <x:c r="A1" s="100" t="str">
        <x:v>Rydberg Tweezer Ecosystem Database</x:v>
      </x:c>
      <x:c r="B1" s="14" t="str">
        <x:v>v1.1</x:v>
      </x:c>
    </x:row>
    <x:row r="2">
      <x:c r="A2" s="103" t="str">
        <x:v>Last updated</x:v>
      </x:c>
      <x:c r="B2" s="14" t="str">
        <x:v>v1.4</x:v>
      </x:c>
    </x:row>
    <x:row r="3">
      <x:c r="A3" s="102" t="str">
        <x:v>Date</x:v>
      </x:c>
      <x:c r="B3" s="15" t="str">
        <x:v>2026-06-18</x:v>
      </x:c>
    </x:row>
    <x:row r="4">
      <x:c r="A4" s="102" t="str">
        <x:v>Scope</x:v>
      </x:c>
      <x:c r="B4" s="15" t="str">
        <x:v>Paper-layer expansion: added 17 arXiv records (2024-2026) plus new query/PI aggregate rows; map unchanged.</x:v>
      </x:c>
    </x:row>
    <x:row r="5">
      <x:c r="A5" s="102" t="str">
        <x:v>Core method</x:v>
      </x:c>
      <x:c r="B5" s="15" t="str">
        <x:v>Reviews/citations + arXiv 2024-2026 + official pages + manual QC.</x:v>
      </x:c>
    </x:row>
    <x:row r="6">
      <x:c r="A6" s="102" t="str">
        <x:v>Important caveat</x:v>
      </x:c>
      <x:c r="B6" s="15" t="str">
        <x:v>This is map-ready but not exhaustive. A/B/C confidence tags are intentionally conservative.</x:v>
      </x:c>
    </x:row>
    <x:row r="7">
      <x:c r="A7" s="102" t="str">
        <x:v>Main workbook sheet</x:v>
      </x:c>
      <x:c r="B7" s="15" t="str">
        <x:v>Database</x:v>
      </x:c>
    </x:row>
    <x:row r="8">
      <x:c r="A8" s="102" t="str">
        <x:v>Paper-to-PI sheet</x:v>
      </x:c>
      <x:c r="B8" s="15" t="str">
        <x:v>Arxiv_PI_Map_2024_2026</x:v>
      </x:c>
    </x:row>
    <x:row r="9">
      <x:c r="A9" s="102" t="str">
        <x:v>Affiliation QC sheet</x:v>
      </x:c>
      <x:c r="B9" s="15" t="str">
        <x:v>PI_Affiliation_QC</x:v>
      </x:c>
    </x:row>
    <x:row r="10">
      <x:c r="A10" s="102" t="str">
        <x:v>Map sheet</x:v>
      </x:c>
      <x:c r="B10" s="15" t="str">
        <x:v>Map_Export</x:v>
      </x:c>
    </x:row>
    <x:row r="11">
      <x:c r="A11" s="102" t="str">
        <x:v>External exports</x:v>
      </x:c>
      <x:c r="B11" s="15" t="str">
        <x:v>CSV and GeoJSON saved alongside this workbook.</x:v>
      </x:c>
    </x:row>
    <x:row r="12">
      <x:c r="A12" s="103" t="str">
        <x:v>Latest change</x:v>
      </x:c>
      <x:c r="B12" s="14" t="str">
        <x:v>v1.1 adds a paper-layer arXiv batch; no Database/map promotion.</x:v>
      </x:c>
    </x:row>
    <x:row r="13">
      <x:c r="A13" t="str">
        <x:v>New review sheet</x:v>
      </x:c>
      <x:c r="B13" t="str">
        <x:v>Arxiv_Batch_v1_1</x:v>
      </x:c>
    </x:row>
    <x:row r="14">
      <x:c r="A14" t="str">
        <x:v>Next action</x:v>
      </x:c>
      <x:c r="B14" t="str">
        <x:v>Resolve affiliation-pending rows before promoting new groups.</x:v>
      </x:c>
    </x:row>
    <x:row r="15">
      <x:c r="A15" t="str">
        <x:v>Map export status</x:v>
      </x:c>
      <x:c r="B15" t="str">
        <x:v>Same as v1.0 unless Database entries are promoted.</x:v>
      </x:c>
    </x:row>
    <x:row r="17">
      <x:c r="A17" s="127" t="str">
        <x:v>v1.2 note</x:v>
      </x:c>
      <x:c r="B17" s="14" t="str">
        <x:v>Affiliation cleanup pass for the 17-paper arXiv v1.1 batch. No new Database rows were added; promotion decisions are staged for v1.3.</x:v>
      </x:c>
    </x:row>
    <x:row r="18">
      <x:c r="A18" s="127" t="str">
        <x:v>Latest recommended next step</x:v>
      </x:c>
      <x:c r="B18" s="14" t="str">
        <x:v>Promote selected resolved candidates to Database and regenerate CSV/GeoJSON map exports.</x:v>
      </x:c>
    </x:row>
    <x:row r="20">
      <x:c r="A20" t="str">
        <x:v>v1.5 update</x:v>
      </x:c>
      <x:c r="B20" t="str">
        <x:v>Adds six curated entries and a formal Source_Exhaustion_Criteria sheet.</x:v>
      </x:c>
    </x:row>
    <x:row r="21">
      <x:c r="A21" t="str">
        <x:v>Important interpretation</x:v>
      </x:c>
      <x:c r="B21" t="str">
        <x:v>The project is not source-exhausted yet. v1.5 defines the operational criteria for knowing when coverage is good enough.</x:v>
      </x:c>
    </x:row>
    <x:row r="22">
      <x:c r="A22" t="str">
        <x:v>Next recommended batch</x:v>
      </x:c>
      <x:c r="B22" t="str">
        <x:v>Run full arXiv API query grid for 2024-2026 with hit counts and deduplicate by last author/affiliation.</x:v>
      </x:c>
    </x:row>
    <x:row r="23">
      <x:c r="A23" t="str">
        <x:v>Map export</x:v>
      </x:c>
      <x:c r="B23" t="str">
        <x:v>Regenerated CSV and GeoJSON from Database entries with coordinates.</x:v>
      </x:c>
    </x:row>
    <x:row r="24">
      <x:c r="A24" t="str">
        <x:v>Last update</x:v>
      </x:c>
      <x:c r="B24" t="str">
        <x:v>2026-06-18</x:v>
      </x:c>
    </x:row>
    <x:row r="25">
      <x:c r="A25" t="str">
        <x:v>Latest version</x:v>
      </x:c>
      <x:c r="B25" t="str">
        <x:v>v1.9: added Review_References_v1_9, Review_Citation_Run_v1_9, and v1_9_Decision_Summary.</x:v>
      </x:c>
    </x:row>
    <x:row r="27">
      <x:c r="A27" s="203" t="str">
        <x:v>v2.1 update</x:v>
      </x:c>
      <x:c r="B27" s="203" t="str">
        <x:v>Added pending-reference resolution, source-coverage matrix, exhaustion dashboard, and next-run queue. No Database promotions.</x:v>
      </x:c>
    </x:row>
    <x:row r="28">
      <x:c r="A28" s="15" t="str">
        <x:v>Current Database entries</x:v>
      </x:c>
      <x:c r="B28" s="15" t="n">
        <x:v>82</x:v>
      </x:c>
    </x:row>
    <x:row r="29">
      <x:c r="A29" s="15" t="str">
        <x:v>Map status</x:v>
      </x:c>
      <x:c r="B29" s="15" t="str">
        <x:v>Unchanged from v2.0 because no new nodes were promoted.</x:v>
      </x:c>
    </x:row>
    <x:row r="30">
      <x:c r="A30" s="15" t="str">
        <x:v>Core diagnosis</x:v>
      </x:c>
      <x:c r="B30" s="15" t="str">
        <x:v>A-core experimental layer appears close to saturated; B/C theory-control layer is still open.</x:v>
      </x:c>
    </x:row>
    <x:row r="31">
      <x:c r="A31" s="15" t="str">
        <x:v>Next recommended action</x:v>
      </x:c>
      <x:c r="B31" s="15" t="str">
        <x:v>Run reproducible arXiv query grid with counts, or mine Browaeys/Lahaye review references.</x:v>
      </x:c>
    </x:row>
    <x:row r="32">
      <x:c r="A32" s="15" t="str">
        <x:v>Files</x:v>
      </x:c>
      <x:c r="B32" s="15" t="str">
        <x:v>rydberg_tweezer_ecosystem_db_v2_1.xlsx + pending_refs_v2_1.csv</x:v>
      </x:c>
    </x:row>
    <x:row r="33">
      <x:c r="A33" s="15" t="str"/>
      <x:c r="B33" s="15" t="str"/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8" hidden="0" customWidth="1"/>
    <x:col min="3" max="3" width="18" hidden="0" customWidth="1"/>
    <x:col min="4" max="4" width="14" hidden="0" customWidth="1"/>
    <x:col min="5" max="5" width="14" hidden="0" customWidth="1"/>
    <x:col min="6" max="6" width="18" hidden="0" customWidth="1"/>
    <x:col min="7" max="7" width="26" hidden="0" customWidth="1"/>
    <x:col min="8" max="8" width="26" hidden="0" customWidth="1"/>
    <x:col min="9" max="9" width="18" hidden="0" customWidth="1"/>
    <x:col min="10" max="10" width="14" hidden="0" customWidth="1"/>
    <x:col min="11" max="11" width="18" hidden="0" customWidth="1"/>
    <x:col min="12" max="12" width="14" hidden="0" customWidth="1"/>
    <x:col min="13" max="13" width="18" hidden="0" customWidth="1"/>
    <x:col min="14" max="14" width="18" hidden="0" customWidth="1"/>
    <x:col min="15" max="15" width="36" hidden="0" customWidth="1"/>
    <x:col min="16" max="16" width="18" hidden="0" customWidth="1"/>
    <x:col min="17" max="17" width="18" hidden="0" customWidth="1"/>
    <x:col min="18" max="18" width="24" hidden="0" customWidth="1"/>
    <x:col min="19" max="19" width="24" hidden="0" customWidth="1"/>
    <x:col min="20" max="20" width="24" hidden="0" customWidth="1"/>
    <x:col min="21" max="21" width="24" hidden="0" customWidth="1"/>
    <x:col min="22" max="22" width="24" hidden="0" customWidth="1"/>
    <x:col min="23" max="23" width="24" hidden="0" customWidth="1"/>
    <x:col min="24" max="24" width="24" hidden="0" customWidth="1"/>
    <x:col min="25" max="25" width="24" hidden="0" customWidth="1"/>
    <x:col min="26" max="26" width="24" hidden="0" customWidth="1"/>
    <x:col min="27" max="27" width="24" hidden="0" customWidth="1"/>
    <x:col min="28" max="28" width="24" hidden="0" customWidth="1"/>
    <x:col min="29" max="29" width="24" hidden="0" customWidth="1"/>
    <x:col min="30" max="30" width="24" hidden="0" customWidth="1"/>
    <x:col min="31" max="31" width="24" hidden="0" customWidth="1"/>
    <x:col min="32" max="32" width="24" hidden="0" customWidth="1"/>
    <x:col min="33" max="33" width="24" hidden="0" customWidth="1"/>
    <x:col min="34" max="34" width="24" hidden="0" customWidth="1"/>
    <x:col min="35" max="35" width="24" hidden="0" customWidth="1"/>
    <x:col min="36" max="36" width="24" hidden="0" customWidth="1"/>
    <x:col min="37" max="37" width="24" hidden="0" customWidth="1"/>
    <x:col min="38" max="38" width="24" hidden="0" customWidth="1"/>
    <x:col min="39" max="39" width="40" hidden="0" customWidth="1"/>
  </x:cols>
  <x:sheetData>
    <x:row r="1" ht="30" customHeight="1">
      <x:c r="A1" s="93" t="str">
        <x:v>entry_id</x:v>
      </x:c>
      <x:c r="B1" s="93" t="str">
        <x:v>name</x:v>
      </x:c>
      <x:c r="C1" s="93" t="str">
        <x:v>entity_type</x:v>
      </x:c>
      <x:c r="D1" s="93" t="str">
        <x:v>status</x:v>
      </x:c>
      <x:c r="E1" s="93" t="str">
        <x:v>confidence</x:v>
      </x:c>
      <x:c r="F1" s="93" t="str">
        <x:v>core_relevance_score</x:v>
      </x:c>
      <x:c r="G1" s="93" t="str">
        <x:v>PI_or_leads</x:v>
      </x:c>
      <x:c r="H1" s="93" t="str">
        <x:v>institution</x:v>
      </x:c>
      <x:c r="I1" s="93" t="str">
        <x:v>department_or_unit</x:v>
      </x:c>
      <x:c r="J1" s="93" t="str">
        <x:v>city</x:v>
      </x:c>
      <x:c r="K1" s="93" t="str">
        <x:v>region_state</x:v>
      </x:c>
      <x:c r="L1" s="93" t="str">
        <x:v>country</x:v>
      </x:c>
      <x:c r="M1" s="93" t="str">
        <x:v>latitude</x:v>
      </x:c>
      <x:c r="N1" s="93" t="str">
        <x:v>longitude</x:v>
      </x:c>
      <x:c r="O1" s="93" t="str">
        <x:v>website</x:v>
      </x:c>
      <x:c r="P1" s="93" t="str">
        <x:v>contact_page</x:v>
      </x:c>
      <x:c r="Q1" s="93" t="str">
        <x:v>email_public</x:v>
      </x:c>
      <x:c r="R1" s="93" t="str">
        <x:v>platform_tags</x:v>
      </x:c>
      <x:c r="S1" s="93" t="str">
        <x:v>species</x:v>
      </x:c>
      <x:c r="T1" s="93" t="str">
        <x:v>rydberg_role</x:v>
      </x:c>
      <x:c r="U1" s="93" t="str">
        <x:v>optical_tweezers</x:v>
      </x:c>
      <x:c r="V1" s="93" t="str">
        <x:v>experimental_mode</x:v>
      </x:c>
      <x:c r="W1" s="93" t="str">
        <x:v>theory_mode</x:v>
      </x:c>
      <x:c r="X1" s="93" t="str">
        <x:v>company_or_spinout</x:v>
      </x:c>
      <x:c r="Y1" s="93" t="str">
        <x:v>related_company</x:v>
      </x:c>
      <x:c r="Z1" s="93" t="str">
        <x:v>key_papers</x:v>
      </x:c>
      <x:c r="AA1" s="93" t="str">
        <x:v>recent_paper_year</x:v>
      </x:c>
      <x:c r="AB1" s="93" t="str">
        <x:v>last_verified</x:v>
      </x:c>
      <x:c r="AC1" s="93" t="str">
        <x:v>source_url_1</x:v>
      </x:c>
      <x:c r="AD1" s="93" t="str">
        <x:v>source_url_2</x:v>
      </x:c>
      <x:c r="AE1" s="93" t="str">
        <x:v>source_url_3</x:v>
      </x:c>
      <x:c r="AF1" s="93" t="str">
        <x:v>review_seed_source</x:v>
      </x:c>
      <x:c r="AG1" s="93" t="str">
        <x:v>arxiv_query_hit</x:v>
      </x:c>
      <x:c r="AH1" s="93" t="str">
        <x:v>openalex_id</x:v>
      </x:c>
      <x:c r="AI1" s="93" t="str">
        <x:v>semantic_scholar_id</x:v>
      </x:c>
      <x:c r="AJ1" s="93" t="str">
        <x:v>ror_id</x:v>
      </x:c>
      <x:c r="AK1" s="93" t="str">
        <x:v>notes</x:v>
      </x:c>
      <x:c r="AL1" s="93" t="str">
        <x:v>todo_next</x:v>
      </x:c>
      <x:c r="AM1" s="15"/>
    </x:row>
    <x:row r="2">
      <x:c r="A2" s="41" t="str">
        <x:v>E-001</x:v>
      </x:c>
      <x:c r="B2" s="41" t="str">
        <x:v>Lukin Group atom-array program</x:v>
      </x:c>
      <x:c r="C2" s="41" t="str">
        <x:v>academic</x:v>
      </x:c>
      <x:c r="D2" s="41" t="str">
        <x:v>verified</x:v>
      </x:c>
      <x:c r="E2" s="41" t="str">
        <x:v>A</x:v>
      </x:c>
      <x:c r="F2" s="41" t="n">
        <x:v>5</x:v>
      </x:c>
      <x:c r="G2" s="41" t="str">
        <x:v>Mikhail D. Lukin</x:v>
      </x:c>
      <x:c r="H2" s="41" t="str">
        <x:v>Harvard University</x:v>
      </x:c>
      <x:c r="I2" s="41" t="str">
        <x:v>Department of Physics</x:v>
      </x:c>
      <x:c r="J2" s="41" t="str">
        <x:v>Cambridge</x:v>
      </x:c>
      <x:c r="K2" s="41" t="str">
        <x:v>MA</x:v>
      </x:c>
      <x:c r="L2" s="41" t="str">
        <x:v>United States</x:v>
      </x:c>
      <x:c r="M2" s="41" t="n">
        <x:v>42.3736</x:v>
      </x:c>
      <x:c r="N2" s="41" t="n">
        <x:v>-71.1097</x:v>
      </x:c>
      <x:c r="O2" s="41" t="str">
        <x:v>https://lukin.physics.harvard.edu/arrays-cold-atoms</x:v>
      </x:c>
      <x:c r="P2" s="41"/>
      <x:c r="Q2" s="41"/>
      <x:c r="R2" s="41" t="str">
        <x:v>rydberg_array; optical_tweezers; neutral_atom_qc; quantum_simulation; qec; gates; theory</x:v>
      </x:c>
      <x:c r="S2" s="41" t="str">
        <x:v>Rb</x:v>
      </x:c>
      <x:c r="T2" s="41" t="str">
        <x:v>gates; analog_simulation; qec; blockade</x:v>
      </x:c>
      <x:c r="U2" s="41" t="str">
        <x:v>yes</x:v>
      </x:c>
      <x:c r="V2" s="41" t="str">
        <x:v>mixed</x:v>
      </x:c>
      <x:c r="W2" s="41" t="str">
        <x:v>mixed</x:v>
      </x:c>
      <x:c r="X2" s="41" t="str">
        <x:v>no</x:v>
      </x:c>
      <x:c r="Y2" s="41"/>
      <x:c r="Z2" s="41" t="str">
        <x:v>Programmable Rydberg atom arrays; QEC/logical qubits; quantum simulation papers</x:v>
      </x:c>
      <x:c r="AA2" s="41" t="n">
        <x:v>2026</x:v>
      </x:c>
      <x:c r="AB2" s="41" t="str">
        <x:v>2026-06-17</x:v>
      </x:c>
      <x:c r="AC2" s="41" t="str">
        <x:v>https://lukin.physics.harvard.edu/arrays-cold-atoms</x:v>
      </x:c>
      <x:c r="AD2" s="41" t="str">
        <x:v>https://www.physics.harvard.edu/news/phases-two-dimensional-rydberg-atom-array</x:v>
      </x:c>
      <x:c r="AE2" s="41" t="str">
        <x:v>https://arxiv.org/abs/2105.13501</x:v>
      </x:c>
      <x:c r="AF2" s="41" t="str">
        <x:v>REV-001; REV-003; REV-006</x:v>
      </x:c>
      <x:c r="AG2" s="41" t="str">
        <x:v>Q-001; Q-002; Q-006</x:v>
      </x:c>
      <x:c r="AH2" s="41"/>
      <x:c r="AI2" s="41"/>
      <x:c r="AJ2" s="41"/>
      <x:c r="AK2" s="41" t="str">
        <x:v>Core benchmark group: official page explicitly states Rb-87 atoms in optical tweezers and Rydberg excitation.</x:v>
      </x:c>
      <x:c r="AL2" s="41" t="str">
        <x:v>Add selected 2024-2026 papers and separate experimental vs theory subteams.</x:v>
      </x:c>
      <x:c r="AM2" s="15"/>
    </x:row>
    <x:row r="3">
      <x:c r="A3" s="41" t="str">
        <x:v>E-002</x:v>
      </x:c>
      <x:c r="B3" s="41" t="str">
        <x:v>Quantum Optics - Atoms team</x:v>
      </x:c>
      <x:c r="C3" s="41" t="str">
        <x:v>academic</x:v>
      </x:c>
      <x:c r="D3" s="41" t="str">
        <x:v>verified</x:v>
      </x:c>
      <x:c r="E3" s="41" t="str">
        <x:v>A</x:v>
      </x:c>
      <x:c r="F3" s="41" t="n">
        <x:v>5</x:v>
      </x:c>
      <x:c r="G3" s="41" t="str">
        <x:v>Antoine Browaeys; Thierry Lahaye</x:v>
      </x:c>
      <x:c r="H3" s="41" t="str">
        <x:v>Institut d'Optique Graduate School / Laboratoire Charles Fabry</x:v>
      </x:c>
      <x:c r="I3" s="41" t="str">
        <x:v>Quantum Optics</x:v>
      </x:c>
      <x:c r="J3" s="41" t="str">
        <x:v>Palaiseau</x:v>
      </x:c>
      <x:c r="K3" s="41" t="str">
        <x:v>Île-de-France</x:v>
      </x:c>
      <x:c r="L3" s="41" t="str">
        <x:v>France</x:v>
      </x:c>
      <x:c r="M3" s="41" t="n">
        <x:v>48.713</x:v>
      </x:c>
      <x:c r="N3" s="41" t="n">
        <x:v>2.207</x:v>
      </x:c>
      <x:c r="O3" s="41" t="str">
        <x:v>https://atom-tweezers-io.org/</x:v>
      </x:c>
      <x:c r="P3" s="41"/>
      <x:c r="Q3" s="41"/>
      <x:c r="R3" s="41" t="str">
        <x:v>rydberg_array; optical_tweezers; quantum_simulation; neutral_atom_qc; gates</x:v>
      </x:c>
      <x:c r="S3" s="41" t="str">
        <x:v>Rb</x:v>
      </x:c>
      <x:c r="T3" s="41" t="str">
        <x:v>analog_simulation; gates; blockade; dressing</x:v>
      </x:c>
      <x:c r="U3" s="41" t="str">
        <x:v>yes</x:v>
      </x:c>
      <x:c r="V3" s="41" t="str">
        <x:v>mixed</x:v>
      </x:c>
      <x:c r="W3" s="41" t="str">
        <x:v>mixed</x:v>
      </x:c>
      <x:c r="X3" s="41" t="str">
        <x:v>yes</x:v>
      </x:c>
      <x:c r="Y3" s="41" t="str">
        <x:v>PASQAL</x:v>
      </x:c>
      <x:c r="Z3" s="41" t="str">
        <x:v>Many-body physics review; 2D antiferromagnets; cryogenic 2000-site tweezer array</x:v>
      </x:c>
      <x:c r="AA3" s="41" t="n">
        <x:v>2026</x:v>
      </x:c>
      <x:c r="AB3" s="41" t="str">
        <x:v>2026-06-17</x:v>
      </x:c>
      <x:c r="AC3" s="41" t="str">
        <x:v>https://atom-tweezers-io.org/</x:v>
      </x:c>
      <x:c r="AD3" s="41" t="str">
        <x:v>https://arxiv.org/abs/2002.07413</x:v>
      </x:c>
      <x:c r="AE3" s="41" t="str">
        <x:v>https://arxiv.org/abs/2405.19503</x:v>
      </x:c>
      <x:c r="AF3" s="41" t="str">
        <x:v>REV-001; REV-002; REV-003</x:v>
      </x:c>
      <x:c r="AG3" s="41" t="str">
        <x:v>Q-001; Q-003; Q-004</x:v>
      </x:c>
      <x:c r="AH3" s="41"/>
      <x:c r="AI3" s="41"/>
      <x:c r="AJ3" s="41"/>
      <x:c r="AK3" s="41" t="str">
        <x:v>Core French/Palaiseau node; strong link to PASQAL origins and continuing Rydberg-tweezer research.</x:v>
      </x:c>
      <x:c r="AL3" s="41" t="str">
        <x:v>Extract publication list and identify alumni/spinout links.</x:v>
      </x:c>
      <x:c r="AM3" s="15"/>
    </x:row>
    <x:row r="4">
      <x:c r="A4" s="41" t="str">
        <x:v>E-003</x:v>
      </x:c>
      <x:c r="B4" s="41" t="str">
        <x:v>Thompson Lab</x:v>
      </x:c>
      <x:c r="C4" s="41" t="str">
        <x:v>academic</x:v>
      </x:c>
      <x:c r="D4" s="41" t="str">
        <x:v>verified</x:v>
      </x:c>
      <x:c r="E4" s="41" t="str">
        <x:v>A</x:v>
      </x:c>
      <x:c r="F4" s="41" t="n">
        <x:v>5</x:v>
      </x:c>
      <x:c r="G4" s="41" t="str">
        <x:v>Jeff D. Thompson</x:v>
      </x:c>
      <x:c r="H4" s="41" t="str">
        <x:v>Princeton University</x:v>
      </x:c>
      <x:c r="I4" s="41" t="str">
        <x:v>Electrical and Computer Engineering / Physics</x:v>
      </x:c>
      <x:c r="J4" s="41" t="str">
        <x:v>Princeton</x:v>
      </x:c>
      <x:c r="K4" s="41" t="str">
        <x:v>NJ</x:v>
      </x:c>
      <x:c r="L4" s="41" t="str">
        <x:v>United States</x:v>
      </x:c>
      <x:c r="M4" s="41" t="n">
        <x:v>40.3431</x:v>
      </x:c>
      <x:c r="N4" s="41" t="n">
        <x:v>-74.6551</x:v>
      </x:c>
      <x:c r="O4" s="41" t="str">
        <x:v>https://sites.google.com/site/thompsonlabq/home</x:v>
      </x:c>
      <x:c r="P4" s="41"/>
      <x:c r="Q4" s="41"/>
      <x:c r="R4" s="41" t="str">
        <x:v>rydberg_array; optical_tweezers; neutral_atom_qc; gates; alkaline_earth; circular_rydberg</x:v>
      </x:c>
      <x:c r="S4" s="41" t="str">
        <x:v>Yb</x:v>
      </x:c>
      <x:c r="T4" s="41" t="str">
        <x:v>gates; blockade; circular_rydberg; architecture</x:v>
      </x:c>
      <x:c r="U4" s="41" t="str">
        <x:v>yes</x:v>
      </x:c>
      <x:c r="V4" s="41" t="str">
        <x:v>experimental</x:v>
      </x:c>
      <x:c r="W4" s="41" t="str">
        <x:v>mixed</x:v>
      </x:c>
      <x:c r="X4" s="41" t="str">
        <x:v>no</x:v>
      </x:c>
      <x:c r="Y4" s="41"/>
      <x:c r="Z4" s="41" t="str">
        <x:v>Trapped alkaline-earth Rydberg atoms in optical tweezers; Yb gates; circular Rydberg proposals</x:v>
      </x:c>
      <x:c r="AA4" s="41" t="n">
        <x:v>2024</x:v>
      </x:c>
      <x:c r="AB4" s="41" t="str">
        <x:v>2026-06-17</x:v>
      </x:c>
      <x:c r="AC4" s="41" t="str">
        <x:v>https://sites.google.com/site/thompsonlabq/home</x:v>
      </x:c>
      <x:c r="AD4" s="41" t="str">
        <x:v>https://arxiv.org/abs/1912.08754</x:v>
      </x:c>
      <x:c r="AE4" s="41" t="str">
        <x:v>https://arxiv.org/abs/2112.06799</x:v>
      </x:c>
      <x:c r="AF4" s="41" t="str">
        <x:v>REV-005; REV-006</x:v>
      </x:c>
      <x:c r="AG4" s="41" t="str">
        <x:v>Q-005; Q-003</x:v>
      </x:c>
      <x:c r="AH4" s="41"/>
      <x:c r="AI4" s="41"/>
      <x:c r="AJ4" s="41"/>
      <x:c r="AK4" s="41" t="str">
        <x:v>Core alkaline-earth/Yb tweezer-Rydberg group; circular Rydberg line is especially relevant for long-lived qubits.</x:v>
      </x:c>
      <x:c r="AL4" s="41" t="str">
        <x:v>Add recent papers and determine current lab activity status.</x:v>
      </x:c>
      <x:c r="AM4" s="15"/>
    </x:row>
    <x:row r="5">
      <x:c r="A5" s="41" t="str">
        <x:v>E-004</x:v>
      </x:c>
      <x:c r="B5" s="41" t="str">
        <x:v>Endres Lab</x:v>
      </x:c>
      <x:c r="C5" s="41" t="str">
        <x:v>academic</x:v>
      </x:c>
      <x:c r="D5" s="41" t="str">
        <x:v>verified</x:v>
      </x:c>
      <x:c r="E5" s="41" t="str">
        <x:v>A</x:v>
      </x:c>
      <x:c r="F5" s="41" t="n">
        <x:v>5</x:v>
      </x:c>
      <x:c r="G5" s="41" t="str">
        <x:v>Manuel Endres</x:v>
      </x:c>
      <x:c r="H5" s="41" t="str">
        <x:v>California Institute of Technology</x:v>
      </x:c>
      <x:c r="I5" s="41" t="str">
        <x:v>Division of Physics, Mathematics and Astronomy</x:v>
      </x:c>
      <x:c r="J5" s="41" t="str">
        <x:v>Pasadena</x:v>
      </x:c>
      <x:c r="K5" s="41" t="str">
        <x:v>CA</x:v>
      </x:c>
      <x:c r="L5" s="41" t="str">
        <x:v>United States</x:v>
      </x:c>
      <x:c r="M5" s="41" t="n">
        <x:v>34.1377</x:v>
      </x:c>
      <x:c r="N5" s="41" t="n">
        <x:v>-118.1253</x:v>
      </x:c>
      <x:c r="O5" s="41" t="str">
        <x:v>https://www.endreslab.com/</x:v>
      </x:c>
      <x:c r="P5" s="41"/>
      <x:c r="Q5" s="41"/>
      <x:c r="R5" s="41" t="str">
        <x:v>rydberg_array; optical_tweezers; quantum_simulation; neutral_atom_qc; alkaline_earth; qec</x:v>
      </x:c>
      <x:c r="S5" s="41" t="str">
        <x:v>Sr; Rb</x:v>
      </x:c>
      <x:c r="T5" s="41" t="str">
        <x:v>gates; analog_simulation; qec; blockade</x:v>
      </x:c>
      <x:c r="U5" s="41" t="str">
        <x:v>yes</x:v>
      </x:c>
      <x:c r="V5" s="41" t="str">
        <x:v>mixed</x:v>
      </x:c>
      <x:c r="W5" s="41" t="str">
        <x:v>mixed</x:v>
      </x:c>
      <x:c r="X5" s="41" t="str">
        <x:v>no</x:v>
      </x:c>
      <x:c r="Y5" s="41"/>
      <x:c r="Z5" s="41" t="str">
        <x:v>Sr tweezer arrays with Rydberg entanglement; 6100-atom tweezer array; neutral-atom QEC directions</x:v>
      </x:c>
      <x:c r="AA5" s="41" t="n">
        <x:v>2025</x:v>
      </x:c>
      <x:c r="AB5" s="41" t="str">
        <x:v>2026-06-17</x:v>
      </x:c>
      <x:c r="AC5" s="41" t="str">
        <x:v>https://www.endreslab.com/</x:v>
      </x:c>
      <x:c r="AD5" s="41" t="str">
        <x:v>https://thesis.caltech.edu/14061/</x:v>
      </x:c>
      <x:c r="AE5" s="41" t="str">
        <x:v>https://www.nature.com/articles/s41586-025-09641-4</x:v>
      </x:c>
      <x:c r="AF5" s="41" t="str">
        <x:v>REV-005; REV-006</x:v>
      </x:c>
      <x:c r="AG5" s="41" t="str">
        <x:v>Q-001; Q-005; Q-006</x:v>
      </x:c>
      <x:c r="AH5" s="41"/>
      <x:c r="AI5" s="41"/>
      <x:c r="AJ5" s="41"/>
      <x:c r="AK5" s="41" t="str">
        <x:v>Core Caltech neutral-atom tweezer group; needs subclassification because not every large-array result is Rydberg-gate specific.</x:v>
      </x:c>
      <x:c r="AL5" s="41" t="str">
        <x:v>Curate separate rows for Sr Rydberg and large-coherence/QEC platform work if needed.</x:v>
      </x:c>
      <x:c r="AM5" s="15"/>
    </x:row>
    <x:row r="6">
      <x:c r="A6" s="41" t="str">
        <x:v>E-005</x:v>
      </x:c>
      <x:c r="B6" s="41" t="str">
        <x:v>Saffman neutral-atom/Rydberg program</x:v>
      </x:c>
      <x:c r="C6" s="41" t="str">
        <x:v>academic</x:v>
      </x:c>
      <x:c r="D6" s="41" t="str">
        <x:v>needs_review</x:v>
      </x:c>
      <x:c r="E6" s="41" t="str">
        <x:v>B</x:v>
      </x:c>
      <x:c r="F6" s="41" t="n">
        <x:v>4</x:v>
      </x:c>
      <x:c r="G6" s="41" t="str">
        <x:v>Mark Saffman</x:v>
      </x:c>
      <x:c r="H6" s="41" t="str">
        <x:v>University of Wisconsin-Madison</x:v>
      </x:c>
      <x:c r="I6" s="41" t="str">
        <x:v>Department of Physics / Wisconsin Quantum Institute</x:v>
      </x:c>
      <x:c r="J6" s="41" t="str">
        <x:v>Madison</x:v>
      </x:c>
      <x:c r="K6" s="41" t="str">
        <x:v>WI</x:v>
      </x:c>
      <x:c r="L6" s="41" t="str">
        <x:v>United States</x:v>
      </x:c>
      <x:c r="M6" s="41" t="n">
        <x:v>43.0731</x:v>
      </x:c>
      <x:c r="N6" s="41" t="n">
        <x:v>-89.4012</x:v>
      </x:c>
      <x:c r="O6" s="41" t="str">
        <x:v>https://www.physics.wisc.edu/</x:v>
      </x:c>
      <x:c r="P6" s="41" t="str"/>
      <x:c r="Q6" s="41"/>
      <x:c r="R6" s="41" t="str">
        <x:v>rydberg_array; neutral_atom_qc; gates; blockade; optical_tweezers</x:v>
      </x:c>
      <x:c r="S6" s="41" t="str">
        <x:v>Cs; Rb</x:v>
      </x:c>
      <x:c r="T6" s="41" t="str">
        <x:v>gates; blockade; architecture</x:v>
      </x:c>
      <x:c r="U6" s="41" t="str">
        <x:v>yes</x:v>
      </x:c>
      <x:c r="V6" s="41" t="str">
        <x:v>experimental</x:v>
      </x:c>
      <x:c r="W6" s="41" t="str">
        <x:v>mixed</x:v>
      </x:c>
      <x:c r="X6" s="41" t="str">
        <x:v>yes</x:v>
      </x:c>
      <x:c r="Y6" s="41" t="str">
        <x:v>Infleqtion / ColdQuanta links</x:v>
      </x:c>
      <x:c r="Z6" s="41" t="str">
        <x:v>Rydberg blockade CNOT in 2D neutral atom arrays; RMP review on quantum information with Rydberg atoms</x:v>
      </x:c>
      <x:c r="AA6" s="41" t="n">
        <x:v>2019</x:v>
      </x:c>
      <x:c r="AB6" s="41" t="str">
        <x:v>2026-06-17</x:v>
      </x:c>
      <x:c r="AC6" s="41" t="str">
        <x:v>https://arxiv.org/abs/1908.06103</x:v>
      </x:c>
      <x:c r="AD6" s="41" t="str">
        <x:v>https://arxiv.org/abs/1506.06416</x:v>
      </x:c>
      <x:c r="AE6" s="41" t="str">
        <x:v>https://link.aps.org/doi/10.1103/RevModPhys.82.2313</x:v>
      </x:c>
      <x:c r="AF6" s="41" t="str">
        <x:v>REV-003; REV-007</x:v>
      </x:c>
      <x:c r="AG6" s="41" t="str">
        <x:v>Q-003</x:v>
      </x:c>
      <x:c r="AH6" s="41"/>
      <x:c r="AI6" s="41"/>
      <x:c r="AJ6" s="41"/>
      <x:c r="AK6" s="41" t="str">
        <x:v>Historically central and technically relevant; official current group page still needs better source capture.</x:v>
      </x:c>
      <x:c r="AL6" s="41" t="str">
        <x:v>Find current official lab page and current 2024-2026 activity.</x:v>
      </x:c>
      <x:c r="AM6" s="15"/>
    </x:row>
    <x:row r="7">
      <x:c r="A7" s="41" t="str">
        <x:v>E-006</x:v>
      </x:c>
      <x:c r="B7" s="41" t="str">
        <x:v>Quantum Matter Interfaces group</x:v>
      </x:c>
      <x:c r="C7" s="41" t="str">
        <x:v>academic</x:v>
      </x:c>
      <x:c r="D7" s="41" t="str">
        <x:v>verified</x:v>
      </x:c>
      <x:c r="E7" s="41" t="str">
        <x:v>A</x:v>
      </x:c>
      <x:c r="F7" s="41" t="n">
        <x:v>5</x:v>
      </x:c>
      <x:c r="G7" s="41" t="str">
        <x:v>Johannes Zeiher</x:v>
      </x:c>
      <x:c r="H7" s="41" t="str">
        <x:v>Max Planck Institute of Quantum Optics / LMU Munich</x:v>
      </x:c>
      <x:c r="I7" s="41" t="str">
        <x:v>Quantum Matter Interfaces</x:v>
      </x:c>
      <x:c r="J7" s="41" t="str">
        <x:v>Garching / Munich</x:v>
      </x:c>
      <x:c r="K7" s="41" t="str">
        <x:v>Bavaria</x:v>
      </x:c>
      <x:c r="L7" s="41" t="str">
        <x:v>Germany</x:v>
      </x:c>
      <x:c r="M7" s="41" t="n">
        <x:v>48.2642</x:v>
      </x:c>
      <x:c r="N7" s="41" t="n">
        <x:v>11.6715</x:v>
      </x:c>
      <x:c r="O7" s="41" t="str">
        <x:v>https://www.zeiher-lab.de/</x:v>
      </x:c>
      <x:c r="P7" s="41"/>
      <x:c r="Q7" s="41"/>
      <x:c r="R7" s="41" t="str">
        <x:v>rydberg_array; optical_tweezers; quantum_simulation; cavities; interfaces; qec</x:v>
      </x:c>
      <x:c r="S7" s="41" t="str">
        <x:v>Rb; unknown</x:v>
      </x:c>
      <x:c r="T7" s="41" t="str">
        <x:v>dressing; analog_simulation; interfaces; qec; blockade</x:v>
      </x:c>
      <x:c r="U7" s="41" t="str">
        <x:v>yes</x:v>
      </x:c>
      <x:c r="V7" s="41" t="str">
        <x:v>experimental</x:v>
      </x:c>
      <x:c r="W7" s="41" t="str">
        <x:v>mixed</x:v>
      </x:c>
      <x:c r="X7" s="41" t="str">
        <x:v>yes</x:v>
      </x:c>
      <x:c r="Y7" s="41" t="str">
        <x:v>planqc links</x:v>
      </x:c>
      <x:c r="Z7" s="41" t="str">
        <x:v>Cavity-coupled Rydberg arrays; spatially tunable spin interactions; subwavelength arrays switched by Rydberg atom</x:v>
      </x:c>
      <x:c r="AA7" s="41" t="n">
        <x:v>2026</x:v>
      </x:c>
      <x:c r="AB7" s="41" t="str">
        <x:v>2026-06-17</x:v>
      </x:c>
      <x:c r="AC7" s="41" t="str">
        <x:v>https://www.mpq.mpg.de/6707561/zeiher</x:v>
      </x:c>
      <x:c r="AD7" s="41" t="str">
        <x:v>https://www.zeiher-lab.de/</x:v>
      </x:c>
      <x:c r="AE7" s="41" t="str">
        <x:v>https://arxiv.org/abs/2206.12385</x:v>
      </x:c>
      <x:c r="AF7" s="41" t="str">
        <x:v>REV-001; REV-003; REV-006</x:v>
      </x:c>
      <x:c r="AG7" s="41" t="str">
        <x:v>Q-001; Q-004</x:v>
      </x:c>
      <x:c r="AH7" s="41"/>
      <x:c r="AI7" s="41"/>
      <x:c r="AJ7" s="41"/>
      <x:c r="AK7" s="41" t="str">
        <x:v>Official MPQ page explicitly says the group combines atomic Rydberg arrays in optical tweezers with optical resonators.</x:v>
      </x:c>
      <x:c r="AL7" s="41" t="str">
        <x:v>Separate QMI/cavity-interface work from planqc optical-lattice work.</x:v>
      </x:c>
      <x:c r="AM7" s="15"/>
    </x:row>
    <x:row r="8">
      <x:c r="A8" s="41" t="str">
        <x:v>E-007</x:v>
      </x:c>
      <x:c r="B8" s="41" t="str">
        <x:v>Ryd-Yb tweezer array platform</x:v>
      </x:c>
      <x:c r="C8" s="41" t="str">
        <x:v>academic</x:v>
      </x:c>
      <x:c r="D8" s="41" t="str">
        <x:v>verified</x:v>
      </x:c>
      <x:c r="E8" s="41" t="str">
        <x:v>A</x:v>
      </x:c>
      <x:c r="F8" s="41" t="n">
        <x:v>5</x:v>
      </x:c>
      <x:c r="G8" s="41" t="str">
        <x:v>Johannes Zeiher / Christian Gross / MPQ team</x:v>
      </x:c>
      <x:c r="H8" s="41" t="str">
        <x:v>Max Planck Institute of Quantum Optics</x:v>
      </x:c>
      <x:c r="I8" s="41" t="str">
        <x:v>Ryd-Yb tweezer array / Munich Quantum Valley</x:v>
      </x:c>
      <x:c r="J8" s="41" t="str">
        <x:v>Garching</x:v>
      </x:c>
      <x:c r="K8" s="41" t="str">
        <x:v>Bavaria</x:v>
      </x:c>
      <x:c r="L8" s="41" t="str">
        <x:v>Germany</x:v>
      </x:c>
      <x:c r="M8" s="41" t="n">
        <x:v>48.2642</x:v>
      </x:c>
      <x:c r="N8" s="41" t="n">
        <x:v>11.6715</x:v>
      </x:c>
      <x:c r="O8" s="41" t="str">
        <x:v>https://www.mpq.mpg.de/6859879/ryd-yb-tweezer-array</x:v>
      </x:c>
      <x:c r="P8" s="41"/>
      <x:c r="Q8" s="41"/>
      <x:c r="R8" s="41" t="str">
        <x:v>rydberg_array; optical_tweezers; neutral_atom_qc; alkaline_earth; qec</x:v>
      </x:c>
      <x:c r="S8" s="41" t="str">
        <x:v>Yb</x:v>
      </x:c>
      <x:c r="T8" s="41" t="str">
        <x:v>gates; blockade; architecture</x:v>
      </x:c>
      <x:c r="U8" s="41" t="str">
        <x:v>yes</x:v>
      </x:c>
      <x:c r="V8" s="41" t="str">
        <x:v>experimental</x:v>
      </x:c>
      <x:c r="W8" s="41" t="str">
        <x:v>mixed</x:v>
      </x:c>
      <x:c r="X8" s="41" t="str">
        <x:v>yes</x:v>
      </x:c>
      <x:c r="Y8" s="41" t="str">
        <x:v>Munich Quantum Valley</x:v>
      </x:c>
      <x:c r="Z8" s="41" t="str">
        <x:v>New Yb atom-array experiment with Rydberg-state interactions</x:v>
      </x:c>
      <x:c r="AA8" s="41" t="n">
        <x:v>2026</x:v>
      </x:c>
      <x:c r="AB8" s="41" t="str">
        <x:v>2026-06-17</x:v>
      </x:c>
      <x:c r="AC8" s="41" t="str">
        <x:v>https://www.mpq.mpg.de/6859879/ryd-yb-tweezer-array</x:v>
      </x:c>
      <x:c r="AD8" s="41" t="str">
        <x:v>https://www.mpq.mpg.de/6707561/zeiher</x:v>
      </x:c>
      <x:c r="AE8" s="41"/>
      <x:c r="AF8" s="41" t="str">
        <x:v>REV-005; REV-006</x:v>
      </x:c>
      <x:c r="AG8" s="41" t="str">
        <x:v>Q-005</x:v>
      </x:c>
      <x:c r="AH8" s="41"/>
      <x:c r="AI8" s="41"/>
      <x:c r="AJ8" s="41"/>
      <x:c r="AK8" s="41" t="str">
        <x:v>New platform; source explicitly mentions neutral Yb atoms in optical tweezers with interactions induced via highly excited Rydberg states.</x:v>
      </x:c>
      <x:c r="AL8" s="41" t="str">
        <x:v>Track first peer-reviewed results after platform commissioning.</x:v>
      </x:c>
      <x:c r="AM8" s="15"/>
    </x:row>
    <x:row r="9">
      <x:c r="A9" s="41" t="str">
        <x:v>E-008</x:v>
      </x:c>
      <x:c r="B9" s="41" t="str">
        <x:v>Strontium Rydberg Lab</x:v>
      </x:c>
      <x:c r="C9" s="41" t="str">
        <x:v>academic</x:v>
      </x:c>
      <x:c r="D9" s="41" t="str">
        <x:v>verified</x:v>
      </x:c>
      <x:c r="E9" s="41" t="str">
        <x:v>B</x:v>
      </x:c>
      <x:c r="F9" s="41" t="n">
        <x:v>4</x:v>
      </x:c>
      <x:c r="G9" s="41" t="str">
        <x:v>Immanuel Bloch / Munich Quantum Optics group</x:v>
      </x:c>
      <x:c r="H9" s="41" t="str">
        <x:v>LMU Munich / MPQ</x:v>
      </x:c>
      <x:c r="I9" s="41" t="str">
        <x:v>Quantum Optics Group</x:v>
      </x:c>
      <x:c r="J9" s="41" t="str">
        <x:v>Munich</x:v>
      </x:c>
      <x:c r="K9" s="41" t="str">
        <x:v>Bavaria</x:v>
      </x:c>
      <x:c r="L9" s="41" t="str">
        <x:v>Germany</x:v>
      </x:c>
      <x:c r="M9" s="41" t="n">
        <x:v>48.15</x:v>
      </x:c>
      <x:c r="N9" s="41" t="n">
        <x:v>11.58</x:v>
      </x:c>
      <x:c r="O9" s="41" t="str">
        <x:v>https://www.quantum-munich.de/238106/Strontium-Rydberg-lab</x:v>
      </x:c>
      <x:c r="P9" s="41"/>
      <x:c r="Q9" s="41"/>
      <x:c r="R9" s="41" t="str">
        <x:v>rydberg_array; optical_tweezers; optical_lattice; quantum_simulation; alkaline_earth</x:v>
      </x:c>
      <x:c r="S9" s="41" t="str">
        <x:v>Sr</x:v>
      </x:c>
      <x:c r="T9" s="41" t="str">
        <x:v>analog_simulation; dressing; blockade</x:v>
      </x:c>
      <x:c r="U9" s="41" t="str">
        <x:v>yes</x:v>
      </x:c>
      <x:c r="V9" s="41" t="str">
        <x:v>experimental</x:v>
      </x:c>
      <x:c r="W9" s="41" t="str">
        <x:v>mixed</x:v>
      </x:c>
      <x:c r="X9" s="41" t="str">
        <x:v>yes</x:v>
      </x:c>
      <x:c r="Y9" s="41" t="str">
        <x:v>Munich Quantum Valley; planqc ecosystem</x:v>
      </x:c>
      <x:c r="Z9" s="41" t="str">
        <x:v>Strontium Rydberg experiment combining optical lattices and optical tweezer control</x:v>
      </x:c>
      <x:c r="AA9" s="41" t="n">
        <x:v>2026</x:v>
      </x:c>
      <x:c r="AB9" s="41" t="str">
        <x:v>2026-06-17</x:v>
      </x:c>
      <x:c r="AC9" s="41" t="str">
        <x:v>https://www.quantum-munich.de/238106/Strontium-Rydberg-lab</x:v>
      </x:c>
      <x:c r="AD9" s="41" t="str">
        <x:v>https://www.mpq.mpg.de/quantum-register-reaches-1200-neutral-atoms-in-continuous-operation</x:v>
      </x:c>
      <x:c r="AE9" s="41"/>
      <x:c r="AF9" s="41" t="str">
        <x:v>REV-005; REV-006</x:v>
      </x:c>
      <x:c r="AG9" s="41" t="str">
        <x:v>Q-005</x:v>
      </x:c>
      <x:c r="AH9" s="41"/>
      <x:c r="AI9" s="41"/>
      <x:c r="AJ9" s="41"/>
      <x:c r="AK9" s="41" t="str">
        <x:v>Relevant but mixed lattice/tweezer emphasis, so not pure tweezer-array core.</x:v>
      </x:c>
      <x:c r="AL9" s="41" t="str">
        <x:v>Clarify whether active Rydberg gates/simulation are implemented in tweezers, lattices, or hybrid geometry.</x:v>
      </x:c>
      <x:c r="AM9" s="15"/>
    </x:row>
    <x:row r="10">
      <x:c r="A10" s="41" t="str">
        <x:v>E-009</x:v>
      </x:c>
      <x:c r="B10" s="41" t="str">
        <x:v>Sr Rydberg tweezers platform</x:v>
      </x:c>
      <x:c r="C10" s="41" t="str">
        <x:v>academic</x:v>
      </x:c>
      <x:c r="D10" s="41" t="str">
        <x:v>verified</x:v>
      </x:c>
      <x:c r="E10" s="41" t="str">
        <x:v>A</x:v>
      </x:c>
      <x:c r="F10" s="41" t="n">
        <x:v>5</x:v>
      </x:c>
      <x:c r="G10" s="41" t="str">
        <x:v>Quantum Gases Group / LENS team</x:v>
      </x:c>
      <x:c r="H10" s="41" t="str">
        <x:v>LENS / University of Florence</x:v>
      </x:c>
      <x:c r="I10" s="41" t="str">
        <x:v>Quantum Gases group</x:v>
      </x:c>
      <x:c r="J10" s="41" t="str">
        <x:v>Florence</x:v>
      </x:c>
      <x:c r="K10" s="41" t="str">
        <x:v>Tuscany</x:v>
      </x:c>
      <x:c r="L10" s="41" t="str">
        <x:v>Italy</x:v>
      </x:c>
      <x:c r="M10" s="41" t="n">
        <x:v>43.7696</x:v>
      </x:c>
      <x:c r="N10" s="41" t="n">
        <x:v>11.2558</x:v>
      </x:c>
      <x:c r="O10" s="41" t="str">
        <x:v>https://quantumgases.lens.unifi.it/exp/sr-rydberg/174-sr-atoms</x:v>
      </x:c>
      <x:c r="P10" s="41"/>
      <x:c r="Q10" s="41"/>
      <x:c r="R10" s="41" t="str">
        <x:v>rydberg_array; optical_tweezers; quantum_simulation; neutral_atom_qc; alkaline_earth</x:v>
      </x:c>
      <x:c r="S10" s="41" t="str">
        <x:v>Sr</x:v>
      </x:c>
      <x:c r="T10" s="41" t="str">
        <x:v>gates; analog_simulation; blockade</x:v>
      </x:c>
      <x:c r="U10" s="41" t="str">
        <x:v>yes</x:v>
      </x:c>
      <x:c r="V10" s="41" t="str">
        <x:v>experimental</x:v>
      </x:c>
      <x:c r="W10" s="41" t="str">
        <x:v>mixed</x:v>
      </x:c>
      <x:c r="X10" s="41" t="str">
        <x:v>no</x:v>
      </x:c>
      <x:c r="Y10" s="41"/>
      <x:c r="Z10" s="41" t="str">
        <x:v>First Italian platform based on programmable arrays of optically trapped strontium Rydberg atoms</x:v>
      </x:c>
      <x:c r="AA10" s="41" t="n">
        <x:v>2024</x:v>
      </x:c>
      <x:c r="AB10" s="41" t="str">
        <x:v>2026-06-17</x:v>
      </x:c>
      <x:c r="AC10" s="41" t="str">
        <x:v>https://quantumgases.lens.unifi.it/exp/sr-rydberg/174-sr-atoms</x:v>
      </x:c>
      <x:c r="AD10" s="41"/>
      <x:c r="AE10" s="41"/>
      <x:c r="AF10" s="41" t="str">
        <x:v>REV-005</x:v>
      </x:c>
      <x:c r="AG10" s="41" t="str">
        <x:v>Q-005</x:v>
      </x:c>
      <x:c r="AH10" s="41"/>
      <x:c r="AI10" s="41"/>
      <x:c r="AJ10" s="41"/>
      <x:c r="AK10" s="41" t="str">
        <x:v>Official page explicitly states Rydberg atoms in optical tweezers and programmable optically trapped neutral atoms.</x:v>
      </x:c>
      <x:c r="AL10" s="41" t="str">
        <x:v>Add PI names and first paper once available.</x:v>
      </x:c>
      <x:c r="AM10" s="15"/>
    </x:row>
    <x:row r="11">
      <x:c r="A11" s="41" t="str">
        <x:v>E-010</x:v>
      </x:c>
      <x:c r="B11" s="41" t="str">
        <x:v>KAT-1 / Eindhoven Rydberg atom quantum computing and simulation</x:v>
      </x:c>
      <x:c r="C11" s="41" t="str">
        <x:v>academic</x:v>
      </x:c>
      <x:c r="D11" s="41" t="str">
        <x:v>verified</x:v>
      </x:c>
      <x:c r="E11" s="41" t="str">
        <x:v>A</x:v>
      </x:c>
      <x:c r="F11" s="41" t="n">
        <x:v>5</x:v>
      </x:c>
      <x:c r="G11" s="41" t="str">
        <x:v>S. J. J. M. F. Kokkelmans / Eindhoven team</x:v>
      </x:c>
      <x:c r="H11" s="41" t="str">
        <x:v>Eindhoven University of Technology</x:v>
      </x:c>
      <x:c r="I11" s="41" t="str">
        <x:v>Center for Quantum Materials and Technology Eindhoven</x:v>
      </x:c>
      <x:c r="J11" s="41" t="str">
        <x:v>Eindhoven</x:v>
      </x:c>
      <x:c r="K11" s="41" t="str">
        <x:v>North Brabant</x:v>
      </x:c>
      <x:c r="L11" s="41" t="str">
        <x:v>Netherlands</x:v>
      </x:c>
      <x:c r="M11" s="41" t="n">
        <x:v>51.4416</x:v>
      </x:c>
      <x:c r="N11" s="41" t="n">
        <x:v>5.4697</x:v>
      </x:c>
      <x:c r="O11" s="41" t="str">
        <x:v>https://www.tue.nl/en/research/research-groups/center-for-quantum-materials-and-technology-eindhoven/projects/rydberg-atom-quantum-computing-and-simulation</x:v>
      </x:c>
      <x:c r="P11" s="41"/>
      <x:c r="Q11" s="41"/>
      <x:c r="R11" s="41" t="str">
        <x:v>rydberg_array; optical_tweezers; neutral_atom_qc; quantum_simulation; alkaline_earth</x:v>
      </x:c>
      <x:c r="S11" s="41" t="str">
        <x:v>Sr</x:v>
      </x:c>
      <x:c r="T11" s="41" t="str">
        <x:v>gates; analog_simulation; blockade; theory</x:v>
      </x:c>
      <x:c r="U11" s="41" t="str">
        <x:v>yes</x:v>
      </x:c>
      <x:c r="V11" s="41" t="str">
        <x:v>mixed</x:v>
      </x:c>
      <x:c r="W11" s="41" t="str">
        <x:v>mixed</x:v>
      </x:c>
      <x:c r="X11" s="41" t="str">
        <x:v>no</x:v>
      </x:c>
      <x:c r="Y11" s="41" t="str">
        <x:v>QuantumDelta NL; Quantum Inspire</x:v>
      </x:c>
      <x:c r="Z11" s="41" t="str">
        <x:v>KAT-1 project: strontium atoms in 2D optical tweezer array using Rydberg excitations</x:v>
      </x:c>
      <x:c r="AA11" s="41" t="n">
        <x:v>2023</x:v>
      </x:c>
      <x:c r="AB11" s="41" t="str">
        <x:v>2026-06-17</x:v>
      </x:c>
      <x:c r="AC11" s="41" t="str">
        <x:v>https://www.tue.nl/en/research/research-groups/center-for-quantum-materials-and-technology-eindhoven/projects/rydberg-atom-quantum-computing-and-simulation</x:v>
      </x:c>
      <x:c r="AD11" s="41" t="str">
        <x:v>https://research.tue.nl/en/publications/neutral-atoms-in-tweezer-arrays-for-hybrid-rydberg-quantum-comput</x:v>
      </x:c>
      <x:c r="AE11" s="41" t="str">
        <x:v>https://arxiv.org/abs/2303.08783</x:v>
      </x:c>
      <x:c r="AF11" s="41" t="str">
        <x:v>REV-005; REV-006</x:v>
      </x:c>
      <x:c r="AG11" s="41" t="str">
        <x:v>Q-002; Q-005</x:v>
      </x:c>
      <x:c r="AH11" s="41"/>
      <x:c r="AI11" s="41"/>
      <x:c r="AJ11" s="41"/>
      <x:c r="AK11" s="41" t="str">
        <x:v>Strong A entry: official project states optical tweezers plus Rydberg interactions; includes theory on recapture/anti-trapping.</x:v>
      </x:c>
      <x:c r="AL11" s="41" t="str">
        <x:v>Add current status and online-access details.</x:v>
      </x:c>
      <x:c r="AM11" s="15"/>
    </x:row>
    <x:row r="12">
      <x:c r="A12" s="41" t="str">
        <x:v>E-011</x:v>
      </x:c>
      <x:c r="B12" s="41" t="str">
        <x:v>QRydDemo / Rydberg quantum computer demonstrator</x:v>
      </x:c>
      <x:c r="C12" s="41" t="str">
        <x:v>mixed_team</x:v>
      </x:c>
      <x:c r="D12" s="41" t="str">
        <x:v>verified</x:v>
      </x:c>
      <x:c r="E12" s="41" t="str">
        <x:v>A</x:v>
      </x:c>
      <x:c r="F12" s="41" t="n">
        <x:v>5</x:v>
      </x:c>
      <x:c r="G12" s="41" t="str">
        <x:v>Tilman Pfau; Ferdinand Meinert; Hans Peter Büchler</x:v>
      </x:c>
      <x:c r="H12" s="41" t="str">
        <x:v>University of Stuttgart</x:v>
      </x:c>
      <x:c r="I12" s="41" t="str">
        <x:v>5th Institute of Physics / Institute for Theoretical Physics III</x:v>
      </x:c>
      <x:c r="J12" s="41" t="str">
        <x:v>Stuttgart</x:v>
      </x:c>
      <x:c r="K12" s="41" t="str">
        <x:v>Baden-Württemberg</x:v>
      </x:c>
      <x:c r="L12" s="41" t="str">
        <x:v>Germany</x:v>
      </x:c>
      <x:c r="M12" s="41" t="n">
        <x:v>48.7758</x:v>
      </x:c>
      <x:c r="N12" s="41" t="n">
        <x:v>9.1829</x:v>
      </x:c>
      <x:c r="O12" s="41" t="str">
        <x:v>https://www.itp3.uni-stuttgart.de/buechler-group/research/quantum-computing-with-Rydberg-atoms/</x:v>
      </x:c>
      <x:c r="P12" s="41"/>
      <x:c r="Q12" s="41"/>
      <x:c r="R12" s="41" t="str">
        <x:v>rydberg_array; optical_tweezers; neutral_atom_qc; gates; theory; consortium</x:v>
      </x:c>
      <x:c r="S12" s="41" t="str">
        <x:v>Sr</x:v>
      </x:c>
      <x:c r="T12" s="41" t="str">
        <x:v>gates; architecture; blockade; theory</x:v>
      </x:c>
      <x:c r="U12" s="41" t="str">
        <x:v>yes</x:v>
      </x:c>
      <x:c r="V12" s="41" t="str">
        <x:v>mixed</x:v>
      </x:c>
      <x:c r="W12" s="41" t="str">
        <x:v>mixed</x:v>
      </x:c>
      <x:c r="X12" s="41" t="str">
        <x:v>no</x:v>
      </x:c>
      <x:c r="Y12" s="41" t="str">
        <x:v>QRydDemo; THE QUANTUM LÄND</x:v>
      </x:c>
      <x:c r="Z12" s="41" t="str">
        <x:v>Rydberg quantum computer demonstrator with neutral atoms in optical tweezer arrays</x:v>
      </x:c>
      <x:c r="AA12" s="41" t="n">
        <x:v>2026</x:v>
      </x:c>
      <x:c r="AB12" s="41" t="str">
        <x:v>2026-06-17</x:v>
      </x:c>
      <x:c r="AC12" s="41" t="str">
        <x:v>https://www.itp3.uni-stuttgart.de/buechler-group/research/quantum-computing-with-Rydberg-atoms/</x:v>
      </x:c>
      <x:c r="AD12" s="41" t="str">
        <x:v>https://muniqc-atoms.munich-quantum-valley.de/partners/rydberg-quantum-computing</x:v>
      </x:c>
      <x:c r="AE12" s="41" t="str">
        <x:v>https://thequantumlaend.de/</x:v>
      </x:c>
      <x:c r="AF12" s="41" t="str">
        <x:v>REV-003; REV-006</x:v>
      </x:c>
      <x:c r="AG12" s="41" t="str">
        <x:v>Q-002; Q-003; Q-006</x:v>
      </x:c>
      <x:c r="AH12" s="41"/>
      <x:c r="AI12" s="41"/>
      <x:c r="AJ12" s="41"/>
      <x:c r="AK12" s="41" t="str">
        <x:v>Important mixed experiment/theory node; not just a single PI lab but a demonstrator ecosystem.</x:v>
      </x:c>
      <x:c r="AL12" s="41" t="str">
        <x:v>Split into experimental Stuttgart row and theory Büchler row if database grows.</x:v>
      </x:c>
      <x:c r="AM12" s="15"/>
    </x:row>
    <x:row r="13">
      <x:c r="A13" s="41" t="str">
        <x:v>E-012</x:v>
      </x:c>
      <x:c r="B13" s="41" t="str">
        <x:v>Circular Rydberg atoms group</x:v>
      </x:c>
      <x:c r="C13" s="41" t="str">
        <x:v>academic</x:v>
      </x:c>
      <x:c r="D13" s="41" t="str">
        <x:v>verified</x:v>
      </x:c>
      <x:c r="E13" s="41" t="str">
        <x:v>B</x:v>
      </x:c>
      <x:c r="F13" s="41" t="n">
        <x:v>4</x:v>
      </x:c>
      <x:c r="G13" s="41" t="str">
        <x:v>Jean-Michel Raimond; Michel Brune; Clément Sayrin / LKB team</x:v>
      </x:c>
      <x:c r="H13" s="41" t="str">
        <x:v>Laboratoire Kastler Brossel / ENS-PSL / Sorbonne / Collège de France</x:v>
      </x:c>
      <x:c r="I13" s="41" t="str">
        <x:v>Rydberg atoms group</x:v>
      </x:c>
      <x:c r="J13" s="41" t="str">
        <x:v>Paris</x:v>
      </x:c>
      <x:c r="K13" s="41" t="str">
        <x:v>Île-de-France</x:v>
      </x:c>
      <x:c r="L13" s="41" t="str">
        <x:v>France</x:v>
      </x:c>
      <x:c r="M13" s="41" t="n">
        <x:v>48.841</x:v>
      </x:c>
      <x:c r="N13" s="41" t="n">
        <x:v>2.344</x:v>
      </x:c>
      <x:c r="O13" s="41" t="str">
        <x:v>https://www.lkb.fr/rydbergatoms/</x:v>
      </x:c>
      <x:c r="P13" s="41"/>
      <x:c r="Q13" s="41"/>
      <x:c r="R13" s="41" t="str">
        <x:v>circular_rydberg; optical_tweezers; quantum_simulation; sensing; gates</x:v>
      </x:c>
      <x:c r="S13" s="41" t="str">
        <x:v>Rb</x:v>
      </x:c>
      <x:c r="T13" s="41" t="str">
        <x:v>circular_rydberg; analog_simulation; sensing; blockade</x:v>
      </x:c>
      <x:c r="U13" s="41" t="str">
        <x:v>yes</x:v>
      </x:c>
      <x:c r="V13" s="41" t="str">
        <x:v>experimental</x:v>
      </x:c>
      <x:c r="W13" s="41" t="str">
        <x:v>mixed</x:v>
      </x:c>
      <x:c r="X13" s="41" t="str">
        <x:v>no</x:v>
      </x:c>
      <x:c r="Y13" s="41"/>
      <x:c r="Z13" s="41" t="str">
        <x:v>Array of individual circular Rydberg atoms trapped in optical tweezers; interacting circular Rydberg atoms</x:v>
      </x:c>
      <x:c r="AA13" s="41" t="n">
        <x:v>2025</x:v>
      </x:c>
      <x:c r="AB13" s="41" t="str">
        <x:v>2026-06-17</x:v>
      </x:c>
      <x:c r="AC13" s="41" t="str">
        <x:v>https://www.lkb.fr/rydbergatoms/</x:v>
      </x:c>
      <x:c r="AD13" s="41" t="str">
        <x:v>https://arxiv.org/abs/2304.04831</x:v>
      </x:c>
      <x:c r="AE13" s="41" t="str">
        <x:v>https://www.normalesup.org/~papoular/publis/papoular_PRXQ_2025.pdf</x:v>
      </x:c>
      <x:c r="AF13" s="41" t="str">
        <x:v>REV-004</x:v>
      </x:c>
      <x:c r="AG13" s="41" t="str">
        <x:v>Q-001; Q-003</x:v>
      </x:c>
      <x:c r="AH13" s="41"/>
      <x:c r="AI13" s="41"/>
      <x:c r="AJ13" s="41"/>
      <x:c r="AK13" s="41" t="str">
        <x:v>Highly relevant but somewhat adjacent to standard neutral-atom Rydberg blockade processors because it uses circular Rydberg atoms/bottle beams.</x:v>
      </x:c>
      <x:c r="AL13" s="41" t="str">
        <x:v>Tag separately in final map.</x:v>
      </x:c>
      <x:c r="AM13" s="15"/>
    </x:row>
    <x:row r="14">
      <x:c r="A14" s="41" t="str">
        <x:v>E-013</x:v>
      </x:c>
      <x:c r="B14" s="41" t="str">
        <x:v>Ohmori Group ultrafast Rydberg atom-array program</x:v>
      </x:c>
      <x:c r="C14" s="41" t="str">
        <x:v>academic</x:v>
      </x:c>
      <x:c r="D14" s="41" t="str">
        <x:v>verified</x:v>
      </x:c>
      <x:c r="E14" s="41" t="str">
        <x:v>B</x:v>
      </x:c>
      <x:c r="F14" s="41" t="n">
        <x:v>4</x:v>
      </x:c>
      <x:c r="G14" s="41" t="str">
        <x:v>Kenji Ohmori; Takafumi Tomita</x:v>
      </x:c>
      <x:c r="H14" s="41" t="str">
        <x:v>Institute for Molecular Science / SOKENDAI</x:v>
      </x:c>
      <x:c r="I14" s="41" t="str">
        <x:v>Ohmori Group</x:v>
      </x:c>
      <x:c r="J14" s="41" t="str">
        <x:v>Okazaki</x:v>
      </x:c>
      <x:c r="K14" s="41" t="str">
        <x:v>Aichi</x:v>
      </x:c>
      <x:c r="L14" s="41" t="str">
        <x:v>Japan</x:v>
      </x:c>
      <x:c r="M14" s="41" t="n">
        <x:v>34.9546</x:v>
      </x:c>
      <x:c r="N14" s="41" t="n">
        <x:v>137.1743</x:v>
      </x:c>
      <x:c r="O14" s="41" t="str">
        <x:v>https://ohmori.ims.ac.jp/en/publications/</x:v>
      </x:c>
      <x:c r="P14" s="41"/>
      <x:c r="Q14" s="41"/>
      <x:c r="R14" s="41" t="str">
        <x:v>rydberg_array; optical_tweezers; ultrafast; quantum_simulation</x:v>
      </x:c>
      <x:c r="S14" s="41" t="str">
        <x:v>Rb; unknown</x:v>
      </x:c>
      <x:c r="T14" s="41" t="str">
        <x:v>analog_simulation; ultrafast_control; blockade</x:v>
      </x:c>
      <x:c r="U14" s="41" t="str">
        <x:v>yes</x:v>
      </x:c>
      <x:c r="V14" s="41" t="str">
        <x:v>experimental</x:v>
      </x:c>
      <x:c r="W14" s="41" t="str">
        <x:v>mixed</x:v>
      </x:c>
      <x:c r="X14" s="41" t="str">
        <x:v>no</x:v>
      </x:c>
      <x:c r="Y14" s="41"/>
      <x:c r="Z14" s="41" t="str">
        <x:v>Ultrafast Rydberg experiments with ultracold atoms in optical tweezers; quantum-speed-limit atom arrays</x:v>
      </x:c>
      <x:c r="AA14" s="41" t="n">
        <x:v>2024</x:v>
      </x:c>
      <x:c r="AB14" s="41" t="str">
        <x:v>2026-06-17</x:v>
      </x:c>
      <x:c r="AC14" s="41" t="str">
        <x:v>https://ohmori.ims.ac.jp/en/publications/</x:v>
      </x:c>
      <x:c r="AD14" s="41" t="str">
        <x:v>https://www.lkb.fr/en/evenement/kenji-ohmori/</x:v>
      </x:c>
      <x:c r="AE14" s="41" t="str">
        <x:v>https://www.exail.com/resources/photonics-and-space/powering-quantum-science-in-japan-how-industry-grade-laser-solutions-support-groundbreaking-research</x:v>
      </x:c>
      <x:c r="AF14" s="41" t="str">
        <x:v>REV-003; REV-004</x:v>
      </x:c>
      <x:c r="AG14" s="41" t="str">
        <x:v>Q-001; Q-004</x:v>
      </x:c>
      <x:c r="AH14" s="41"/>
      <x:c r="AI14" s="41"/>
      <x:c r="AJ14" s="41"/>
      <x:c r="AK14" s="41" t="str">
        <x:v>Official publications/talks page repeatedly lists ultrafast Rydberg experiments with ultracold atoms in optical tweezers; still needs peer-reviewed extraction and species confirmation.</x:v>
      </x:c>
      <x:c r="AL14" s="41" t="str">
        <x:v>Find peer-reviewed papers and experimental setup page; decide if confidence can become A.</x:v>
      </x:c>
      <x:c r="AM14" s="15"/>
    </x:row>
    <x:row r="15">
      <x:c r="A15" s="41" t="str">
        <x:v>E-014</x:v>
      </x:c>
      <x:c r="B15" s="41" t="str">
        <x:v>Kaufman Group</x:v>
      </x:c>
      <x:c r="C15" s="41" t="str">
        <x:v>academic</x:v>
      </x:c>
      <x:c r="D15" s="41" t="str">
        <x:v>verified</x:v>
      </x:c>
      <x:c r="E15" s="41" t="str">
        <x:v>A</x:v>
      </x:c>
      <x:c r="F15" s="41" t="n">
        <x:v>5</x:v>
      </x:c>
      <x:c r="G15" s="41" t="str">
        <x:v>Adam M. Kaufman</x:v>
      </x:c>
      <x:c r="H15" s="41" t="str">
        <x:v>JILA / University of Colorado Boulder</x:v>
      </x:c>
      <x:c r="I15" s="41" t="str">
        <x:v>JILA / Department of Physics</x:v>
      </x:c>
      <x:c r="J15" s="41" t="str">
        <x:v>Boulder</x:v>
      </x:c>
      <x:c r="K15" s="41" t="str">
        <x:v>CO</x:v>
      </x:c>
      <x:c r="L15" s="41" t="str">
        <x:v>United States</x:v>
      </x:c>
      <x:c r="M15" s="41" t="n">
        <x:v>40.015</x:v>
      </x:c>
      <x:c r="N15" s="41" t="n">
        <x:v>-105.2705</x:v>
      </x:c>
      <x:c r="O15" s="41" t="str">
        <x:v>https://www.colorado.edu/jila/kaufman</x:v>
      </x:c>
      <x:c r="P15" s="41"/>
      <x:c r="Q15" s="41"/>
      <x:c r="R15" s="41" t="str">
        <x:v>optical_tweezers; rydberg_array; quantum_simulation; metrology; qec; gates</x:v>
      </x:c>
      <x:c r="S15" s="41" t="str">
        <x:v>Sr; Rb</x:v>
      </x:c>
      <x:c r="T15" s="41" t="str">
        <x:v>gates; analog_simulation; blockade; metrology</x:v>
      </x:c>
      <x:c r="U15" s="41" t="str">
        <x:v>yes</x:v>
      </x:c>
      <x:c r="V15" s="41" t="str">
        <x:v>experimental</x:v>
      </x:c>
      <x:c r="W15" s="41" t="str">
        <x:v>mixed</x:v>
      </x:c>
      <x:c r="X15" s="41" t="str">
        <x:v>no</x:v>
      </x:c>
      <x:c r="Y15" s="41"/>
      <x:c r="Z15" s="41" t="str">
        <x:v>Quantum science with optical tweezers; cryogenic Rydberg atom arrays; Rydberg spin squeezing/metrology links</x:v>
      </x:c>
      <x:c r="AA15" s="41" t="n">
        <x:v>2025</x:v>
      </x:c>
      <x:c r="AB15" s="41" t="str">
        <x:v>2026-06-17</x:v>
      </x:c>
      <x:c r="AC15" s="41" t="str">
        <x:v>https://www.colorado.edu/jila/kaufman</x:v>
      </x:c>
      <x:c r="AD15" s="41" t="str">
        <x:v>https://arxiv.org/abs/2412.09780</x:v>
      </x:c>
      <x:c r="AE15" s="41" t="str">
        <x:v>https://www.nature.com/articles/s41567-021-01357-2</x:v>
      </x:c>
      <x:c r="AF15" s="41" t="str">
        <x:v>REV-005; REV-006</x:v>
      </x:c>
      <x:c r="AG15" s="41" t="str">
        <x:v>Q-005; Q-006</x:v>
      </x:c>
      <x:c r="AH15" s="41"/>
      <x:c r="AI15" s="41"/>
      <x:c r="AJ15" s="41"/>
      <x:c r="AK15" s="41" t="str">
        <x:v>Core tweezer-array methods group with Rydberg activity; some work is not Rydberg-specific, so tag carefully.</x:v>
      </x:c>
      <x:c r="AL15" s="41" t="str">
        <x:v>Add sub-rows for Regal/Kaufman/Marinelli collaborations if needed.</x:v>
      </x:c>
      <x:c r="AM15" s="15"/>
    </x:row>
    <x:row r="16">
      <x:c r="A16" s="41" t="str">
        <x:v>E-015</x:v>
      </x:c>
      <x:c r="B16" s="41" t="str">
        <x:v>Pichler Quantum Science Theory group</x:v>
      </x:c>
      <x:c r="C16" s="41" t="str">
        <x:v>theory_group</x:v>
      </x:c>
      <x:c r="D16" s="41" t="str">
        <x:v>verified</x:v>
      </x:c>
      <x:c r="E16" s="41" t="str">
        <x:v>B</x:v>
      </x:c>
      <x:c r="F16" s="41" t="n">
        <x:v>4</x:v>
      </x:c>
      <x:c r="G16" s="41" t="str">
        <x:v>Hannes Pichler</x:v>
      </x:c>
      <x:c r="H16" s="41" t="str">
        <x:v>IQOQI Innsbruck / University of Innsbruck</x:v>
      </x:c>
      <x:c r="I16" s="41" t="str">
        <x:v>Quantum Science Theory</x:v>
      </x:c>
      <x:c r="J16" s="41" t="str">
        <x:v>Innsbruck</x:v>
      </x:c>
      <x:c r="K16" s="41" t="str">
        <x:v>Tyrol</x:v>
      </x:c>
      <x:c r="L16" s="41" t="str">
        <x:v>Austria</x:v>
      </x:c>
      <x:c r="M16" s="41" t="n">
        <x:v>47.2692</x:v>
      </x:c>
      <x:c r="N16" s="41" t="n">
        <x:v>11.4041</x:v>
      </x:c>
      <x:c r="O16" s="41" t="str">
        <x:v>https://iqoqi.at/en/research/publications/ag-pichler</x:v>
      </x:c>
      <x:c r="P16" s="41"/>
      <x:c r="Q16" s="41"/>
      <x:c r="R16" s="41" t="str">
        <x:v>rydberg_array; theory; algorithms; quantum_simulation; neutral_atom_qc</x:v>
      </x:c>
      <x:c r="S16" s="41" t="str">
        <x:v>not_applicable</x:v>
      </x:c>
      <x:c r="T16" s="41" t="str">
        <x:v>theory; algorithms; analog_simulation; architecture; qec</x:v>
      </x:c>
      <x:c r="U16" s="41" t="str">
        <x:v>not_applicable</x:v>
      </x:c>
      <x:c r="V16" s="41" t="str">
        <x:v>theory</x:v>
      </x:c>
      <x:c r="W16" s="41" t="str">
        <x:v>theory</x:v>
      </x:c>
      <x:c r="X16" s="41" t="str">
        <x:v>no</x:v>
      </x:c>
      <x:c r="Y16" s="41"/>
      <x:c r="Z16" s="41" t="str">
        <x:v>Globally driven Rydberg atom arrays; Rydberg optimization; theory links to Lukin/Caltech papers</x:v>
      </x:c>
      <x:c r="AA16" s="41" t="n">
        <x:v>2025</x:v>
      </x:c>
      <x:c r="AB16" s="41" t="str">
        <x:v>2026-06-17</x:v>
      </x:c>
      <x:c r="AC16" s="41" t="str">
        <x:v>https://iqoqi.at/en/research/publications/ag-pichler</x:v>
      </x:c>
      <x:c r="AD16" s="41" t="str">
        <x:v>https://arxiv.org/abs/2305.19220</x:v>
      </x:c>
      <x:c r="AE16" s="41" t="str">
        <x:v>https://arxiv.org/abs/2011.12295</x:v>
      </x:c>
      <x:c r="AF16" s="41" t="str">
        <x:v>REV-003; REV-006</x:v>
      </x:c>
      <x:c r="AG16" s="41" t="str">
        <x:v>Q-006; Q-007; Q-008</x:v>
      </x:c>
      <x:c r="AH16" s="41"/>
      <x:c r="AI16" s="41"/>
      <x:c r="AJ16" s="41"/>
      <x:c r="AK16" s="41" t="str">
        <x:v>Theory node, not experimental; useful for citation-network discovery and algorithms/architecture bucket.</x:v>
      </x:c>
      <x:c r="AL16" s="41" t="str">
        <x:v>Map collaborations to experimental groups.</x:v>
      </x:c>
      <x:c r="AM16" s="15"/>
    </x:row>
    <x:row r="17">
      <x:c r="A17" s="41" t="str">
        <x:v>E-016</x:v>
      </x:c>
      <x:c r="B17" s="41" t="str">
        <x:v>Sachdev Rydberg-array theory collaborations</x:v>
      </x:c>
      <x:c r="C17" s="41" t="str">
        <x:v>theory_group</x:v>
      </x:c>
      <x:c r="D17" s="41" t="str">
        <x:v>verified</x:v>
      </x:c>
      <x:c r="E17" s="41" t="str">
        <x:v>B</x:v>
      </x:c>
      <x:c r="F17" s="41" t="n">
        <x:v>4</x:v>
      </x:c>
      <x:c r="G17" s="41" t="str">
        <x:v>Subir Sachdev; Rhine Samajdar / collaborators</x:v>
      </x:c>
      <x:c r="H17" s="41" t="str">
        <x:v>Harvard University</x:v>
      </x:c>
      <x:c r="I17" s="41" t="str">
        <x:v>Department of Physics</x:v>
      </x:c>
      <x:c r="J17" s="41" t="str">
        <x:v>Cambridge</x:v>
      </x:c>
      <x:c r="K17" s="41" t="str">
        <x:v>MA</x:v>
      </x:c>
      <x:c r="L17" s="41" t="str">
        <x:v>United States</x:v>
      </x:c>
      <x:c r="M17" s="41" t="n">
        <x:v>42.3736</x:v>
      </x:c>
      <x:c r="N17" s="41" t="n">
        <x:v>-71.1097</x:v>
      </x:c>
      <x:c r="O17" s="41" t="str">
        <x:v>https://www.physics.harvard.edu/news/phases-two-dimensional-rydberg-atom-array</x:v>
      </x:c>
      <x:c r="P17" s="41"/>
      <x:c r="Q17" s="41"/>
      <x:c r="R17" s="41" t="str">
        <x:v>rydberg_array; theory; quantum_simulation; many_body</x:v>
      </x:c>
      <x:c r="S17" s="41" t="str">
        <x:v>not_applicable</x:v>
      </x:c>
      <x:c r="T17" s="41" t="str">
        <x:v>theory; analog_simulation</x:v>
      </x:c>
      <x:c r="U17" s="41" t="str">
        <x:v>not_applicable</x:v>
      </x:c>
      <x:c r="V17" s="41" t="str">
        <x:v>theory</x:v>
      </x:c>
      <x:c r="W17" s="41" t="str">
        <x:v>theory</x:v>
      </x:c>
      <x:c r="X17" s="41" t="str">
        <x:v>no</x:v>
      </x:c>
      <x:c r="Y17" s="41"/>
      <x:c r="Z17" s="41" t="str">
        <x:v>Quantum phases of Rydberg atoms on square/kagome lattices; theory-experiment collaboration with Lukin</x:v>
      </x:c>
      <x:c r="AA17" s="41" t="n">
        <x:v>2021</x:v>
      </x:c>
      <x:c r="AB17" s="41" t="str">
        <x:v>2026-06-17</x:v>
      </x:c>
      <x:c r="AC17" s="41" t="str">
        <x:v>https://www.physics.harvard.edu/news/phases-two-dimensional-rydberg-atom-array</x:v>
      </x:c>
      <x:c r="AD17" s="41" t="str">
        <x:v>https://arxiv.org/abs/2011.12295</x:v>
      </x:c>
      <x:c r="AE17" s="41" t="str">
        <x:v>https://arxiv.org/abs/1910.09548</x:v>
      </x:c>
      <x:c r="AF17" s="41" t="str">
        <x:v>REV-001; REV-003</x:v>
      </x:c>
      <x:c r="AG17" s="41" t="str">
        <x:v>Q-007</x:v>
      </x:c>
      <x:c r="AH17" s="41"/>
      <x:c r="AI17" s="41"/>
      <x:c r="AJ17" s="41"/>
      <x:c r="AK17" s="41" t="str">
        <x:v>Theory-only but highly relevant to programmable Rydberg array quantum simulation.</x:v>
      </x:c>
      <x:c r="AL17" s="41" t="str">
        <x:v>Keep as theory map node, not lab platform node.</x:v>
      </x:c>
      <x:c r="AM17" s="15"/>
    </x:row>
    <x:row r="18">
      <x:c r="A18" s="41" t="str">
        <x:v>E-017</x:v>
      </x:c>
      <x:c r="B18" s="41" t="str">
        <x:v>Lesanovsky theoretical atomic physics / synthetic quantum systems</x:v>
      </x:c>
      <x:c r="C18" s="41" t="str">
        <x:v>theory_group</x:v>
      </x:c>
      <x:c r="D18" s="41" t="str">
        <x:v>verified</x:v>
      </x:c>
      <x:c r="E18" s="41" t="str">
        <x:v>B</x:v>
      </x:c>
      <x:c r="F18" s="41" t="n">
        <x:v>3</x:v>
      </x:c>
      <x:c r="G18" s="41" t="str">
        <x:v>Igor Lesanovsky</x:v>
      </x:c>
      <x:c r="H18" s="41" t="str">
        <x:v>University of Tübingen</x:v>
      </x:c>
      <x:c r="I18" s="41" t="str">
        <x:v>Theoretical Atomic Physics and Synthetic Quantum Systems</x:v>
      </x:c>
      <x:c r="J18" s="41" t="str">
        <x:v>Tübingen</x:v>
      </x:c>
      <x:c r="K18" s="41" t="str">
        <x:v>Baden-Württemberg</x:v>
      </x:c>
      <x:c r="L18" s="41" t="str">
        <x:v>Germany</x:v>
      </x:c>
      <x:c r="M18" s="41" t="n">
        <x:v>48.5216</x:v>
      </x:c>
      <x:c r="N18" s="41" t="n">
        <x:v>9.0576</x:v>
      </x:c>
      <x:c r="O18" s="41" t="str">
        <x:v>https://uni-tuebingen.de/en/fakultaeten/mathematisch-naturwissenschaftliche-fakultaet/fachbereiche/physik/institute/institut-fuer-theoretische-physik/arbeitsgruppen/ag-lesanovsky/research-topics/</x:v>
      </x:c>
      <x:c r="P18" s="41"/>
      <x:c r="Q18" s="41"/>
      <x:c r="R18" s="41" t="str">
        <x:v>rydberg_atoms; theory; quantum_simulation; open_quantum_systems</x:v>
      </x:c>
      <x:c r="S18" s="41" t="str">
        <x:v>not_applicable</x:v>
      </x:c>
      <x:c r="T18" s="41" t="str">
        <x:v>theory; analog_simulation; dressing; open_systems</x:v>
      </x:c>
      <x:c r="U18" s="41" t="str">
        <x:v>not_applicable</x:v>
      </x:c>
      <x:c r="V18" s="41" t="str">
        <x:v>theory</x:v>
      </x:c>
      <x:c r="W18" s="41" t="str">
        <x:v>theory</x:v>
      </x:c>
      <x:c r="X18" s="41" t="str">
        <x:v>no</x:v>
      </x:c>
      <x:c r="Y18" s="41"/>
      <x:c r="Z18" s="41" t="str">
        <x:v>Rydberg quantum simulation theory and open quantum systems</x:v>
      </x:c>
      <x:c r="AA18" s="41" t="n">
        <x:v>2025</x:v>
      </x:c>
      <x:c r="AB18" s="41" t="str">
        <x:v>2026-06-17</x:v>
      </x:c>
      <x:c r="AC18" s="41" t="str">
        <x:v>https://arxiv.org/abs/2506.09865</x:v>
      </x:c>
      <x:c r="AD18" s="41" t="str">
        <x:v>https://arxiv.org/abs/1104.3081</x:v>
      </x:c>
      <x:c r="AE18" s="41"/>
      <x:c r="AF18" s="41" t="str">
        <x:v>REV-003; REV-004</x:v>
      </x:c>
      <x:c r="AG18" s="41" t="str">
        <x:v>Q-007</x:v>
      </x:c>
      <x:c r="AH18" s="41"/>
      <x:c r="AI18" s="41"/>
      <x:c r="AJ18" s="41"/>
      <x:c r="AK18" s="41" t="str">
        <x:v>Updated in v0.9: current Rydberg-tweezer-array molecular-dynamics theory paper added; affiliation normalized to Tübingen pending official page check.</x:v>
      </x:c>
      <x:c r="AL18" s="41" t="str">
        <x:v>Find official current Tübingen group page and add ROR.</x:v>
      </x:c>
      <x:c r="AM18" s="15"/>
    </x:row>
    <x:row r="19">
      <x:c r="A19" s="41" t="str">
        <x:v>E-018</x:v>
      </x:c>
      <x:c r="B19" s="41" t="str">
        <x:v>PASQAL</x:v>
      </x:c>
      <x:c r="C19" s="41" t="str">
        <x:v>company</x:v>
      </x:c>
      <x:c r="D19" s="41" t="str">
        <x:v>verified</x:v>
      </x:c>
      <x:c r="E19" s="41" t="str">
        <x:v>A</x:v>
      </x:c>
      <x:c r="F19" s="41" t="n">
        <x:v>5</x:v>
      </x:c>
      <x:c r="G19" s="41" t="str">
        <x:v>Company leadership / PASQAL technical teams</x:v>
      </x:c>
      <x:c r="H19" s="41" t="str">
        <x:v>PASQAL</x:v>
      </x:c>
      <x:c r="I19" s="41" t="str">
        <x:v>Neutral-atom quantum processors</x:v>
      </x:c>
      <x:c r="J19" s="41" t="str">
        <x:v>Massy / Palaiseau</x:v>
      </x:c>
      <x:c r="K19" s="41" t="str">
        <x:v>Île-de-France</x:v>
      </x:c>
      <x:c r="L19" s="41" t="str">
        <x:v>France</x:v>
      </x:c>
      <x:c r="M19" s="41" t="n">
        <x:v>48.73</x:v>
      </x:c>
      <x:c r="N19" s="41" t="n">
        <x:v>2.27</x:v>
      </x:c>
      <x:c r="O19" s="41" t="str">
        <x:v>https://www.pasqal.com/</x:v>
      </x:c>
      <x:c r="P19" s="41"/>
      <x:c r="Q19" s="41"/>
      <x:c r="R19" s="41" t="str">
        <x:v>rydberg_array; optical_tweezers; neutral_atom_qc; quantum_simulation; software; algorithms; gates</x:v>
      </x:c>
      <x:c r="S19" s="41" t="str">
        <x:v>Rb</x:v>
      </x:c>
      <x:c r="T19" s="41" t="str">
        <x:v>analog_simulation; digital_simulation; gates; blockade</x:v>
      </x:c>
      <x:c r="U19" s="41" t="str">
        <x:v>yes</x:v>
      </x:c>
      <x:c r="V19" s="41" t="str">
        <x:v>company</x:v>
      </x:c>
      <x:c r="W19" s="41" t="str">
        <x:v>mixed</x:v>
      </x:c>
      <x:c r="X19" s="41" t="str">
        <x:v>yes</x:v>
      </x:c>
      <x:c r="Y19" s="41"/>
      <x:c r="Z19" s="41" t="str">
        <x:v>Pulser/PASQAL neutral-atom platform; Rydberg atoms in optical tweezers; QPU brochure</x:v>
      </x:c>
      <x:c r="AA19" s="41" t="n">
        <x:v>2026</x:v>
      </x:c>
      <x:c r="AB19" s="41" t="str">
        <x:v>2026-06-17</x:v>
      </x:c>
      <x:c r="AC19" s="41" t="str">
        <x:v>https://www.pasqal.com/blog/pasqals-neutral-atoms-platform-toward-fully-programmable-quantum-simulators/</x:v>
      </x:c>
      <x:c r="AD19" s="41" t="str">
        <x:v>https://www.pasqal.com/blog/the-analog-neutral-atom-advantage-in-the-noisy-qubits-era/</x:v>
      </x:c>
      <x:c r="AE19" s="41" t="str">
        <x:v>https://docs.pasqal.com/pulserstudio/guide/register/</x:v>
      </x:c>
      <x:c r="AF19" s="41" t="str">
        <x:v>REV-002; REV-006</x:v>
      </x:c>
      <x:c r="AG19" s="41" t="str">
        <x:v>Q-002; Q-008</x:v>
      </x:c>
      <x:c r="AH19" s="41"/>
      <x:c r="AI19" s="41"/>
      <x:c r="AJ19" s="41"/>
      <x:c r="AK19" s="41" t="str">
        <x:v>Company is core target; sources explicitly state Rydberg atoms held in arrays of optical tweezers and registers built with optical tweezers.</x:v>
      </x:c>
      <x:c r="AL19" s="41" t="str">
        <x:v>Add product names and hardware-access status later.</x:v>
      </x:c>
      <x:c r="AM19" s="15"/>
    </x:row>
    <x:row r="20">
      <x:c r="A20" s="41" t="str">
        <x:v>E-019</x:v>
      </x:c>
      <x:c r="B20" s="41" t="str">
        <x:v>QuEra Computing</x:v>
      </x:c>
      <x:c r="C20" s="41" t="str">
        <x:v>company</x:v>
      </x:c>
      <x:c r="D20" s="41" t="str">
        <x:v>verified</x:v>
      </x:c>
      <x:c r="E20" s="41" t="str">
        <x:v>A</x:v>
      </x:c>
      <x:c r="F20" s="41" t="n">
        <x:v>5</x:v>
      </x:c>
      <x:c r="G20" s="41" t="str">
        <x:v>Company leadership / QuEra technical teams</x:v>
      </x:c>
      <x:c r="H20" s="41" t="str">
        <x:v>QuEra Computing</x:v>
      </x:c>
      <x:c r="I20" s="41" t="str">
        <x:v>Neutral-atom quantum computing</x:v>
      </x:c>
      <x:c r="J20" s="41" t="str">
        <x:v>Boston</x:v>
      </x:c>
      <x:c r="K20" s="41" t="str">
        <x:v>MA</x:v>
      </x:c>
      <x:c r="L20" s="41" t="str">
        <x:v>United States</x:v>
      </x:c>
      <x:c r="M20" s="41" t="n">
        <x:v>42.3601</x:v>
      </x:c>
      <x:c r="N20" s="41" t="n">
        <x:v>-71.0589</x:v>
      </x:c>
      <x:c r="O20" s="41" t="str">
        <x:v>https://www.quera.com/neutral-atom-platform</x:v>
      </x:c>
      <x:c r="P20" s="41"/>
      <x:c r="Q20" s="41"/>
      <x:c r="R20" s="41" t="str">
        <x:v>rydberg_array; optical_tweezers; neutral_atom_qc; analog_simulation; qec; software</x:v>
      </x:c>
      <x:c r="S20" s="41" t="str">
        <x:v>Rb; unknown</x:v>
      </x:c>
      <x:c r="T20" s="41" t="str">
        <x:v>analog_simulation; gates; qec; blockade</x:v>
      </x:c>
      <x:c r="U20" s="41" t="str">
        <x:v>yes</x:v>
      </x:c>
      <x:c r="V20" s="41" t="str">
        <x:v>company</x:v>
      </x:c>
      <x:c r="W20" s="41" t="str">
        <x:v>mixed</x:v>
      </x:c>
      <x:c r="X20" s="41" t="str">
        <x:v>yes</x:v>
      </x:c>
      <x:c r="Y20" s="41"/>
      <x:c r="Z20" s="41" t="str">
        <x:v>QuEra neutral-atom platform; Bloqade; Rydberg blockade; QEC collaborations</x:v>
      </x:c>
      <x:c r="AA20" s="41" t="n">
        <x:v>2026</x:v>
      </x:c>
      <x:c r="AB20" s="41" t="str">
        <x:v>2026-06-17</x:v>
      </x:c>
      <x:c r="AC20" s="41" t="str">
        <x:v>https://www.quera.com/neutral-atom-platform</x:v>
      </x:c>
      <x:c r="AD20" s="41" t="str">
        <x:v>https://bloqade.quera.com/dev/background/</x:v>
      </x:c>
      <x:c r="AE20" s="41" t="str">
        <x:v>https://www.quera.com/press-releases/qperfect-and-quera-announce-collaboration-to-propel-simulations-of-quantum-error-correction-and-logical-quantum-algorithms</x:v>
      </x:c>
      <x:c r="AF20" s="41" t="str">
        <x:v>REV-002; REV-006</x:v>
      </x:c>
      <x:c r="AG20" s="41" t="str">
        <x:v>Q-002; Q-008</x:v>
      </x:c>
      <x:c r="AH20" s="41"/>
      <x:c r="AI20" s="41"/>
      <x:c r="AJ20" s="41"/>
      <x:c r="AK20" s="41" t="str">
        <x:v>Company is core target; official platform page says lasers act as optical tweezers; Bloqade docs state Rydberg blockade mechanism.</x:v>
      </x:c>
      <x:c r="AL20" s="41" t="str">
        <x:v>Add hardware generations and cloud availability.</x:v>
      </x:c>
      <x:c r="AM20" s="15"/>
    </x:row>
    <x:row r="21">
      <x:c r="A21" s="41" t="str">
        <x:v>E-020</x:v>
      </x:c>
      <x:c r="B21" s="41" t="str">
        <x:v>Atom Computing</x:v>
      </x:c>
      <x:c r="C21" s="41" t="str">
        <x:v>company</x:v>
      </x:c>
      <x:c r="D21" s="41" t="str">
        <x:v>needs_review</x:v>
      </x:c>
      <x:c r="E21" s="41" t="str">
        <x:v>B</x:v>
      </x:c>
      <x:c r="F21" s="41" t="n">
        <x:v>4</x:v>
      </x:c>
      <x:c r="G21" s="41" t="str">
        <x:v>Company leadership / Atom Computing technical teams</x:v>
      </x:c>
      <x:c r="H21" s="41" t="str">
        <x:v>Atom Computing</x:v>
      </x:c>
      <x:c r="I21" s="41" t="str">
        <x:v>Neutral-atom quantum computing</x:v>
      </x:c>
      <x:c r="J21" s="41" t="str">
        <x:v>Berkeley</x:v>
      </x:c>
      <x:c r="K21" s="41" t="str">
        <x:v>CA</x:v>
      </x:c>
      <x:c r="L21" s="41" t="str">
        <x:v>United States</x:v>
      </x:c>
      <x:c r="M21" s="41" t="n">
        <x:v>37.8715</x:v>
      </x:c>
      <x:c r="N21" s="41" t="n">
        <x:v>-122.273</x:v>
      </x:c>
      <x:c r="O21" s="41" t="str">
        <x:v>https://atom-computing.com/</x:v>
      </x:c>
      <x:c r="P21" s="41"/>
      <x:c r="Q21" s="41"/>
      <x:c r="R21" s="41" t="str">
        <x:v>neutral_atom_qc; optical_tweezers; qec; alkaline_earth; gates</x:v>
      </x:c>
      <x:c r="S21" s="41" t="str">
        <x:v>Sr; alkaline_earth</x:v>
      </x:c>
      <x:c r="T21" s="41" t="str">
        <x:v>gates; qec; architecture</x:v>
      </x:c>
      <x:c r="U21" s="41" t="str">
        <x:v>yes</x:v>
      </x:c>
      <x:c r="V21" s="41" t="str">
        <x:v>company</x:v>
      </x:c>
      <x:c r="W21" s="41" t="str">
        <x:v>mixed</x:v>
      </x:c>
      <x:c r="X21" s="41" t="str">
        <x:v>yes</x:v>
      </x:c>
      <x:c r="Y21" s="41"/>
      <x:c r="Z21" s="41" t="str">
        <x:v>Tweezer-confined neutral atom QEC / toric code; neutral-atom whitepaper</x:v>
      </x:c>
      <x:c r="AA21" s="41" t="n">
        <x:v>2026</x:v>
      </x:c>
      <x:c r="AB21" s="41" t="str">
        <x:v>2026-06-17</x:v>
      </x:c>
      <x:c r="AC21" s="41" t="str">
        <x:v>https://atom-computing.com/wp-content/uploads/2025/01/Atom-Computing-Whitepaper-2025.pdf</x:v>
      </x:c>
      <x:c r="AD21" s="41" t="str">
        <x:v>https://atom-computing.com/wp-content/uploads/2026/06/AtomComputing_QuantumErrorCorrectionwithToricCode.pdf</x:v>
      </x:c>
      <x:c r="AE21" s="41"/>
      <x:c r="AF21" s="41" t="str">
        <x:v>REV-006</x:v>
      </x:c>
      <x:c r="AG21" s="41" t="str">
        <x:v>Q-002; Q-006</x:v>
      </x:c>
      <x:c r="AH21" s="41"/>
      <x:c r="AI21" s="41"/>
      <x:c r="AJ21" s="41"/>
      <x:c r="AK21" s="41" t="str">
        <x:v>Included as B: clearly neutral-atom/tweezer-confined and QEC-relevant; public source needs more explicit Rydberg-gate confirmation in this pass.</x:v>
      </x:c>
      <x:c r="AL21" s="41" t="str">
        <x:v>Find primary peer-reviewed gate/entanglement mechanism paper.</x:v>
      </x:c>
      <x:c r="AM21" s="15"/>
    </x:row>
    <x:row r="22">
      <x:c r="A22" s="41" t="str">
        <x:v>E-021</x:v>
      </x:c>
      <x:c r="B22" s="41" t="str">
        <x:v>Infleqtion neutral-atom QC program</x:v>
      </x:c>
      <x:c r="C22" s="41" t="str">
        <x:v>company</x:v>
      </x:c>
      <x:c r="D22" s="41" t="str">
        <x:v>needs_review</x:v>
      </x:c>
      <x:c r="E22" s="41" t="str">
        <x:v>B</x:v>
      </x:c>
      <x:c r="F22" s="41" t="n">
        <x:v>4</x:v>
      </x:c>
      <x:c r="G22" s="41" t="str">
        <x:v>Company leadership / Infleqtion technical teams</x:v>
      </x:c>
      <x:c r="H22" s="41" t="str">
        <x:v>Infleqtion</x:v>
      </x:c>
      <x:c r="I22" s="41" t="str">
        <x:v>Neutral atom technology / quantum computing</x:v>
      </x:c>
      <x:c r="J22" s="41" t="str">
        <x:v>Boulder</x:v>
      </x:c>
      <x:c r="K22" s="41" t="str">
        <x:v>CO</x:v>
      </x:c>
      <x:c r="L22" s="41" t="str">
        <x:v>United States</x:v>
      </x:c>
      <x:c r="M22" s="41" t="n">
        <x:v>40.015</x:v>
      </x:c>
      <x:c r="N22" s="41" t="n">
        <x:v>-105.2705</x:v>
      </x:c>
      <x:c r="O22" s="41" t="str">
        <x:v>https://infleqtion.com/neutral-atom-technology/</x:v>
      </x:c>
      <x:c r="P22" s="41"/>
      <x:c r="Q22" s="41"/>
      <x:c r="R22" s="41" t="str">
        <x:v>neutral_atom_qc; optical_tweezers; gates; qec; sensing</x:v>
      </x:c>
      <x:c r="S22" s="41" t="str">
        <x:v>Cs</x:v>
      </x:c>
      <x:c r="T22" s="41" t="str">
        <x:v>gates; qec; blockade</x:v>
      </x:c>
      <x:c r="U22" s="41" t="str">
        <x:v>yes</x:v>
      </x:c>
      <x:c r="V22" s="41" t="str">
        <x:v>company</x:v>
      </x:c>
      <x:c r="W22" s="41" t="str">
        <x:v>mixed</x:v>
      </x:c>
      <x:c r="X22" s="41" t="str">
        <x:v>yes</x:v>
      </x:c>
      <x:c r="Y22" s="41"/>
      <x:c r="Z22" s="41" t="str">
        <x:v>Universal neutral-atom quantum computer; neutral atom technology pages</x:v>
      </x:c>
      <x:c r="AA22" s="41" t="n">
        <x:v>2026</x:v>
      </x:c>
      <x:c r="AB22" s="41" t="str">
        <x:v>2026-06-17</x:v>
      </x:c>
      <x:c r="AC22" s="41" t="str">
        <x:v>https://infleqtion.com/neutral-atom-technology/</x:v>
      </x:c>
      <x:c r="AD22" s="41" t="str">
        <x:v>https://arxiv.org/html/2408.08288v2</x:v>
      </x:c>
      <x:c r="AE22" s="41" t="str">
        <x:v>https://infleqtion.com/infleqtion-strengthens-neutral-atom-quantum-computing-platform-with-new-technical-breakthroughs/</x:v>
      </x:c>
      <x:c r="AF22" s="41" t="str">
        <x:v>REV-006</x:v>
      </x:c>
      <x:c r="AG22" s="41" t="str">
        <x:v>Q-002; Q-006</x:v>
      </x:c>
      <x:c r="AH22" s="41"/>
      <x:c r="AI22" s="41"/>
      <x:c r="AJ22" s="41"/>
      <x:c r="AK22" s="41" t="str">
        <x:v>Included as B: official page gives optical tweezers; arXiv paper gives Cs tweezer array; confirm exact Rydberg gate mechanism and current product architecture.</x:v>
      </x:c>
      <x:c r="AL22" s="41" t="str">
        <x:v>Extract main peer-reviewed papers and species/gate details.</x:v>
      </x:c>
      <x:c r="AM22" s="15"/>
    </x:row>
    <x:row r="23">
      <x:c r="A23" s="41" t="str">
        <x:v>E-022</x:v>
      </x:c>
      <x:c r="B23" s="41" t="str">
        <x:v>QPerfect</x:v>
      </x:c>
      <x:c r="C23" s="41" t="str">
        <x:v>company</x:v>
      </x:c>
      <x:c r="D23" s="41" t="str">
        <x:v>verified</x:v>
      </x:c>
      <x:c r="E23" s="41" t="str">
        <x:v>B</x:v>
      </x:c>
      <x:c r="F23" s="41" t="n">
        <x:v>4</x:v>
      </x:c>
      <x:c r="G23" s="41" t="str">
        <x:v>QPerfect team</x:v>
      </x:c>
      <x:c r="H23" s="41" t="str">
        <x:v>QPerfect</x:v>
      </x:c>
      <x:c r="I23" s="41" t="str">
        <x:v>Neutral-atom emulation / QEC software</x:v>
      </x:c>
      <x:c r="J23" s="41" t="str">
        <x:v>Strasbourg</x:v>
      </x:c>
      <x:c r="K23" s="41" t="str">
        <x:v>Grand Est</x:v>
      </x:c>
      <x:c r="L23" s="41" t="str">
        <x:v>France</x:v>
      </x:c>
      <x:c r="M23" s="41" t="n">
        <x:v>48.5734</x:v>
      </x:c>
      <x:c r="N23" s="41" t="n">
        <x:v>7.7521</x:v>
      </x:c>
      <x:c r="O23" s="41" t="str">
        <x:v>https://www.qperfect.io/</x:v>
      </x:c>
      <x:c r="P23" s="41"/>
      <x:c r="Q23" s="41"/>
      <x:c r="R23" s="41" t="str">
        <x:v>software; algorithms; qec; neutral_atom_qc; theory</x:v>
      </x:c>
      <x:c r="S23" s="41" t="str">
        <x:v>not_applicable</x:v>
      </x:c>
      <x:c r="T23" s="41" t="str">
        <x:v>algorithms; qec; emulation; theory</x:v>
      </x:c>
      <x:c r="U23" s="41" t="str">
        <x:v>not_applicable</x:v>
      </x:c>
      <x:c r="V23" s="41" t="str">
        <x:v>software</x:v>
      </x:c>
      <x:c r="W23" s="41" t="str">
        <x:v>theory</x:v>
      </x:c>
      <x:c r="X23" s="41" t="str">
        <x:v>yes</x:v>
      </x:c>
      <x:c r="Y23" s="41" t="str">
        <x:v>QuEra collaboration</x:v>
      </x:c>
      <x:c r="Z23" s="41" t="str">
        <x:v>Neutral-atom hardware compilation, emulation, tensor-network/QEC collaboration with QuEra</x:v>
      </x:c>
      <x:c r="AA23" s="41" t="n">
        <x:v>2025</x:v>
      </x:c>
      <x:c r="AB23" s="41" t="str">
        <x:v>2026-06-17</x:v>
      </x:c>
      <x:c r="AC23" s="41" t="str">
        <x:v>https://www.qperfect.io/</x:v>
      </x:c>
      <x:c r="AD23" s="41" t="str">
        <x:v>https://www.quera.com/press-releases/qperfect-and-quera-announce-collaboration-to-propel-simulations-of-quantum-error-correction-and-logical-quantum-algorithms</x:v>
      </x:c>
      <x:c r="AE23" s="41" t="str">
        <x:v>https://qperfect.io/2025/06/strategic-partnership-with-to-achieve-quantum-advantage-using-neutral-atom-quantum-processors/</x:v>
      </x:c>
      <x:c r="AF23" s="41" t="str">
        <x:v>REV-006</x:v>
      </x:c>
      <x:c r="AG23" s="41" t="str">
        <x:v>Q-008</x:v>
      </x:c>
      <x:c r="AH23" s="41"/>
      <x:c r="AI23" s="41"/>
      <x:c r="AJ23" s="41"/>
      <x:c r="AK23" s="41" t="str">
        <x:v>Not a hardware lab, but useful for theory/software/company ecosystem mapping around neutral-atom Rydberg processors.</x:v>
      </x:c>
      <x:c r="AL23" s="41" t="str">
        <x:v>Clarify ownership/status and whether to map separately from BTQ.</x:v>
      </x:c>
      <x:c r="AM23" s="15"/>
    </x:row>
    <x:row r="24">
      <x:c r="A24" s="41" t="str">
        <x:v>E-023</x:v>
      </x:c>
      <x:c r="B24" s="41" t="str">
        <x:v>planqc</x:v>
      </x:c>
      <x:c r="C24" s="41" t="str">
        <x:v>company</x:v>
      </x:c>
      <x:c r="D24" s="41" t="str">
        <x:v>candidate</x:v>
      </x:c>
      <x:c r="E24" s="41" t="str">
        <x:v>C</x:v>
      </x:c>
      <x:c r="F24" s="41" t="n">
        <x:v>2</x:v>
      </x:c>
      <x:c r="G24" s="41" t="str">
        <x:v>planqc team / MPQ spinout</x:v>
      </x:c>
      <x:c r="H24" s="41" t="str">
        <x:v>planqc</x:v>
      </x:c>
      <x:c r="I24" s="41" t="str">
        <x:v>Neutral-atom quantum computing</x:v>
      </x:c>
      <x:c r="J24" s="41" t="str">
        <x:v>Garching / Munich</x:v>
      </x:c>
      <x:c r="K24" s="41" t="str">
        <x:v>Bavaria</x:v>
      </x:c>
      <x:c r="L24" s="41" t="str">
        <x:v>Germany</x:v>
      </x:c>
      <x:c r="M24" s="41" t="n">
        <x:v>48.2489</x:v>
      </x:c>
      <x:c r="N24" s="41" t="n">
        <x:v>11.6532</x:v>
      </x:c>
      <x:c r="O24" s="41" t="str">
        <x:v>https://www.planqc.eu/</x:v>
      </x:c>
      <x:c r="P24" s="41"/>
      <x:c r="Q24" s="41"/>
      <x:c r="R24" s="41" t="str">
        <x:v>neutral_atom_qc; optical_lattice; qec; gates</x:v>
      </x:c>
      <x:c r="S24" s="41" t="str">
        <x:v>Sr; Li; unknown</x:v>
      </x:c>
      <x:c r="T24" s="41" t="str">
        <x:v>gates; architecture</x:v>
      </x:c>
      <x:c r="U24" s="41" t="str">
        <x:v>no</x:v>
      </x:c>
      <x:c r="V24" s="41" t="str">
        <x:v>company</x:v>
      </x:c>
      <x:c r="W24" s="41" t="str">
        <x:v>mixed</x:v>
      </x:c>
      <x:c r="X24" s="41" t="str">
        <x:v>yes</x:v>
      </x:c>
      <x:c r="Y24" s="41" t="str">
        <x:v>MPQ / Munich ecosystem</x:v>
      </x:c>
      <x:c r="Z24" s="41" t="str">
        <x:v>Neutral atoms in optical lattices; adjacent to Rydberg/tweezer ecosystem but not target-core</x:v>
      </x:c>
      <x:c r="AA24" s="41" t="n">
        <x:v>2026</x:v>
      </x:c>
      <x:c r="AB24" s="41" t="str">
        <x:v>2026-06-17</x:v>
      </x:c>
      <x:c r="AC24" s="41" t="str">
        <x:v>https://www.mpq.mpg.de/quantum-register-reaches-1200-neutral-atoms-in-continuous-operation</x:v>
      </x:c>
      <x:c r="AD24" s="41" t="str">
        <x:v>https://postquantum.com/quantum-computing-companies/planqc/</x:v>
      </x:c>
      <x:c r="AE24" s="41" t="str">
        <x:v>https://qci.dlr.de/en/neutral-atoms/</x:v>
      </x:c>
      <x:c r="AF24" s="41" t="str">
        <x:v>REV-006</x:v>
      </x:c>
      <x:c r="AG24" s="41" t="str">
        <x:v>Q-002</x:v>
      </x:c>
      <x:c r="AH24" s="41"/>
      <x:c r="AI24" s="41"/>
      <x:c r="AJ24" s="41"/>
      <x:c r="AK24" s="41" t="str">
        <x:v>Kept as C because approach appears optical-lattice-centered rather than optical-tweezer-centered, but strategically adjacent.</x:v>
      </x:c>
      <x:c r="AL24" s="41" t="str">
        <x:v>Decide whether page/map will include adjacent optical-lattice neutral atom companies.</x:v>
      </x:c>
      <x:c r="AM24" s="15"/>
    </x:row>
    <x:row r="25">
      <x:c r="A25" s="41" t="str">
        <x:v>E-024</x:v>
      </x:c>
      <x:c r="B25" s="41" t="str">
        <x:v>CAS Cold Atom Technology / Hanyuan neutral-atom systems</x:v>
      </x:c>
      <x:c r="C25" s="41" t="str">
        <x:v>company</x:v>
      </x:c>
      <x:c r="D25" s="41" t="str">
        <x:v>candidate</x:v>
      </x:c>
      <x:c r="E25" s="41" t="str">
        <x:v>C</x:v>
      </x:c>
      <x:c r="F25" s="41" t="n">
        <x:v>2</x:v>
      </x:c>
      <x:c r="G25" s="41" t="str">
        <x:v>CAS Cold Atom Technology team</x:v>
      </x:c>
      <x:c r="H25" s="41" t="str">
        <x:v>CAS Cold Atom Technology</x:v>
      </x:c>
      <x:c r="I25" s="41" t="str">
        <x:v>Neutral-atom quantum computing</x:v>
      </x:c>
      <x:c r="J25" s="41" t="str">
        <x:v>Wuhan</x:v>
      </x:c>
      <x:c r="K25" s="41" t="str">
        <x:v>Hubei</x:v>
      </x:c>
      <x:c r="L25" s="41" t="str">
        <x:v>China</x:v>
      </x:c>
      <x:c r="M25" s="41" t="n">
        <x:v>30.5928</x:v>
      </x:c>
      <x:c r="N25" s="41" t="n">
        <x:v>114.3055</x:v>
      </x:c>
      <x:c r="O25" s="41" t="str">
        <x:v>https://www.cas.cn/</x:v>
      </x:c>
      <x:c r="P25" s="41"/>
      <x:c r="Q25" s="41"/>
      <x:c r="R25" s="41" t="str">
        <x:v>neutral_atom_qc; optical_tweezers; company; qec</x:v>
      </x:c>
      <x:c r="S25" s="41" t="str">
        <x:v>Rb</x:v>
      </x:c>
      <x:c r="T25" s="41" t="str">
        <x:v>architecture; qec</x:v>
      </x:c>
      <x:c r="U25" s="41" t="str">
        <x:v>unclear</x:v>
      </x:c>
      <x:c r="V25" s="41" t="str">
        <x:v>company</x:v>
      </x:c>
      <x:c r="W25" s="41" t="str">
        <x:v>unknown</x:v>
      </x:c>
      <x:c r="X25" s="41" t="str">
        <x:v>yes</x:v>
      </x:c>
      <x:c r="Y25" s="41"/>
      <x:c r="Z25" s="41" t="str">
        <x:v>Hanyuan-2 neutral-atom system claims; limited peer-reviewed/public technical transparency</x:v>
      </x:c>
      <x:c r="AA25" s="41" t="n">
        <x:v>2026</x:v>
      </x:c>
      <x:c r="AB25" s="41" t="str">
        <x:v>2026-06-17</x:v>
      </x:c>
      <x:c r="AC25" s="41" t="str">
        <x:v>https://www.tomshardware.com/tech-industry/quantum-computing/china-claims-worlds-first-dual-core-quantum-computer</x:v>
      </x:c>
      <x:c r="AD25" s="41" t="str">
        <x:v>https://www.livescience.com/technology/quantum/china-unveils-world-first-dual-core-quantum-computer-its-makers-say-it-improves-stability-and-efficiency</x:v>
      </x:c>
      <x:c r="AE25" s="41"/>
      <x:c r="AF25" s="41" t="str">
        <x:v>REV-006</x:v>
      </x:c>
      <x:c r="AG25" s="41" t="str">
        <x:v>Q-002; Q-006</x:v>
      </x:c>
      <x:c r="AH25" s="41"/>
      <x:c r="AI25" s="41"/>
      <x:c r="AJ25" s="41"/>
      <x:c r="AK25" s="41" t="str">
        <x:v>Kept as C/candidate because information is mostly press/news and lacks detailed public benchmarks in this pass.</x:v>
      </x:c>
      <x:c r="AL25" s="41" t="str">
        <x:v>Find official company page and technical papers if available.</x:v>
      </x:c>
      <x:c r="AM25" s="15"/>
    </x:row>
    <x:row r="26">
      <x:c r="A26" s="41" t="str">
        <x:v>E-025</x:v>
      </x:c>
      <x:c r="B26" s="41" t="str">
        <x:v>DLR QCI DiNAQC / neutral atoms program</x:v>
      </x:c>
      <x:c r="C26" s="41" t="str">
        <x:v>national_lab</x:v>
      </x:c>
      <x:c r="D26" s="41" t="str">
        <x:v>candidate</x:v>
      </x:c>
      <x:c r="E26" s="41" t="str">
        <x:v>C</x:v>
      </x:c>
      <x:c r="F26" s="41" t="n">
        <x:v>2</x:v>
      </x:c>
      <x:c r="G26" s="41" t="str">
        <x:v>DLR QCI / project partners</x:v>
      </x:c>
      <x:c r="H26" s="41" t="str">
        <x:v>DLR Quantum Computing Initiative</x:v>
      </x:c>
      <x:c r="I26" s="41" t="str">
        <x:v>Neutral atoms program</x:v>
      </x:c>
      <x:c r="J26" s="41" t="str">
        <x:v>Germany</x:v>
      </x:c>
      <x:c r="K26" s="41" t="str">
        <x:v>Germany</x:v>
      </x:c>
      <x:c r="L26" s="41" t="str">
        <x:v>Germany</x:v>
      </x:c>
      <x:c r="M26" s="41" t="n">
        <x:v>51.1657</x:v>
      </x:c>
      <x:c r="N26" s="41" t="n">
        <x:v>10.4515</x:v>
      </x:c>
      <x:c r="O26" s="41" t="str">
        <x:v>https://qci.dlr.de/en/neutral-atoms/</x:v>
      </x:c>
      <x:c r="P26" s="41"/>
      <x:c r="Q26" s="41"/>
      <x:c r="R26" s="41" t="str">
        <x:v>neutral_atom_qc; rydberg_array; gates; consortium</x:v>
      </x:c>
      <x:c r="S26" s="41" t="str">
        <x:v>unknown</x:v>
      </x:c>
      <x:c r="T26" s="41" t="str">
        <x:v>gates; blockade; architecture</x:v>
      </x:c>
      <x:c r="U26" s="41" t="str">
        <x:v>unclear</x:v>
      </x:c>
      <x:c r="V26" s="41" t="str">
        <x:v>mixed</x:v>
      </x:c>
      <x:c r="W26" s="41" t="str">
        <x:v>mixed</x:v>
      </x:c>
      <x:c r="X26" s="41" t="str">
        <x:v>no</x:v>
      </x:c>
      <x:c r="Y26" s="41" t="str">
        <x:v>DiNAQC</x:v>
      </x:c>
      <x:c r="Z26" s="41" t="str">
        <x:v>Neutral atom project using atoms in Rydberg states; platform details need clarification</x:v>
      </x:c>
      <x:c r="AA26" s="41" t="n">
        <x:v>2026</x:v>
      </x:c>
      <x:c r="AB26" s="41" t="str">
        <x:v>2026-06-17</x:v>
      </x:c>
      <x:c r="AC26" s="41" t="str">
        <x:v>https://qci.dlr.de/en/neutral-atoms/</x:v>
      </x:c>
      <x:c r="AD26" s="41" t="str">
        <x:v>https://www.itp3.uni-stuttgart.de/buechler-group/research/quantum-computing-with-Rydberg-atoms/</x:v>
      </x:c>
      <x:c r="AE26" s="41"/>
      <x:c r="AF26" s="41" t="str">
        <x:v>REV-006</x:v>
      </x:c>
      <x:c r="AG26" s="41" t="str">
        <x:v>Q-002</x:v>
      </x:c>
      <x:c r="AH26" s="41"/>
      <x:c r="AI26" s="41"/>
      <x:c r="AJ26" s="41"/>
      <x:c r="AK26" s="41" t="str">
        <x:v>Useful consortium/project row, but optical tweezers not confirmed from the DLR page snippet.</x:v>
      </x:c>
      <x:c r="AL26" s="41" t="str">
        <x:v>Resolve exact hardware partner and trap type.</x:v>
      </x:c>
      <x:c r="AM26" s="15"/>
    </x:row>
    <x:row r="27">
      <x:c r="A27" s="41" t="str">
        <x:v>E-026</x:v>
      </x:c>
      <x:c r="B27" s="41" t="str">
        <x:v>CQT atom-array program</x:v>
      </x:c>
      <x:c r="C27" s="41" t="str">
        <x:v>academic</x:v>
      </x:c>
      <x:c r="D27" s="41" t="str">
        <x:v>candidate</x:v>
      </x:c>
      <x:c r="E27" s="41" t="str">
        <x:v>C</x:v>
      </x:c>
      <x:c r="F27" s="41" t="n">
        <x:v>2</x:v>
      </x:c>
      <x:c r="G27" s="41" t="str">
        <x:v>Huanqian Loh / CQT team</x:v>
      </x:c>
      <x:c r="H27" s="41" t="str">
        <x:v>Centre for Quantum Technologies, National University of Singapore</x:v>
      </x:c>
      <x:c r="I27" s="41" t="str">
        <x:v>Atom-array / tweezer experiments</x:v>
      </x:c>
      <x:c r="J27" s="41" t="str">
        <x:v>Singapore</x:v>
      </x:c>
      <x:c r="K27" s="41"/>
      <x:c r="L27" s="41" t="str">
        <x:v>Singapore</x:v>
      </x:c>
      <x:c r="M27" s="41" t="n">
        <x:v>1.3521</x:v>
      </x:c>
      <x:c r="N27" s="41" t="n">
        <x:v>103.8198</x:v>
      </x:c>
      <x:c r="O27" s="41" t="str">
        <x:v>https://www.cqt.sg/highlight/2023-03-tweezers-atom-array/</x:v>
      </x:c>
      <x:c r="P27" s="41"/>
      <x:c r="Q27" s="41"/>
      <x:c r="R27" s="41" t="str">
        <x:v>optical_tweezers; atom_arrays; quantum_simulation</x:v>
      </x:c>
      <x:c r="S27" s="41" t="str">
        <x:v>unknown</x:v>
      </x:c>
      <x:c r="T27" s="41" t="str">
        <x:v>other</x:v>
      </x:c>
      <x:c r="U27" s="41" t="str">
        <x:v>yes</x:v>
      </x:c>
      <x:c r="V27" s="41" t="str">
        <x:v>experimental</x:v>
      </x:c>
      <x:c r="W27" s="41" t="str">
        <x:v>mixed</x:v>
      </x:c>
      <x:c r="X27" s="41" t="str">
        <x:v>no</x:v>
      </x:c>
      <x:c r="Y27" s="41"/>
      <x:c r="Z27" s="41" t="str">
        <x:v>Atom-array assembly with optical tweezers; Rydberg involvement not confirmed in this pass</x:v>
      </x:c>
      <x:c r="AA27" s="41" t="n">
        <x:v>2023</x:v>
      </x:c>
      <x:c r="AB27" s="41" t="str">
        <x:v>2026-06-17</x:v>
      </x:c>
      <x:c r="AC27" s="41" t="str">
        <x:v>https://www.cqt.sg/highlight/2023-03-tweezers-atom-array/</x:v>
      </x:c>
      <x:c r="AD27" s="41"/>
      <x:c r="AE27" s="41"/>
      <x:c r="AF27" s="41" t="str">
        <x:v>REV-005</x:v>
      </x:c>
      <x:c r="AG27" s="41" t="str">
        <x:v>Q-004</x:v>
      </x:c>
      <x:c r="AH27" s="41"/>
      <x:c r="AI27" s="41"/>
      <x:c r="AJ27" s="41"/>
      <x:c r="AK27" s="41" t="str">
        <x:v>Kept as adjacent/candidate because optical tweezer arrays are confirmed, but Rydberg target relevance is not yet confirmed.</x:v>
      </x:c>
      <x:c r="AL27" s="41" t="str">
        <x:v>Search CQT publications for Rydberg/tweezer overlap.</x:v>
      </x:c>
      <x:c r="AM27" s="15"/>
    </x:row>
    <x:row r="28">
      <x:c r="A28" s="41" t="str">
        <x:v>E-027</x:v>
      </x:c>
      <x:c r="B28" s="41" t="str">
        <x:v>Wenchao Xu Rydberg atom-array program</x:v>
      </x:c>
      <x:c r="C28" s="41" t="str">
        <x:v>academic</x:v>
      </x:c>
      <x:c r="D28" s="41" t="str">
        <x:v>verified</x:v>
      </x:c>
      <x:c r="E28" s="41" t="str">
        <x:v>B</x:v>
      </x:c>
      <x:c r="F28" s="41" t="n">
        <x:v>4</x:v>
      </x:c>
      <x:c r="G28" s="41" t="str">
        <x:v>Wenchao Xu</x:v>
      </x:c>
      <x:c r="H28" s="41" t="str">
        <x:v>ETH Zurich</x:v>
      </x:c>
      <x:c r="I28" s="41" t="str">
        <x:v>Quantum science / Rydberg atom arrays</x:v>
      </x:c>
      <x:c r="J28" s="41" t="str">
        <x:v>Zurich</x:v>
      </x:c>
      <x:c r="K28" s="41" t="str">
        <x:v>Zurich</x:v>
      </x:c>
      <x:c r="L28" s="41" t="str">
        <x:v>Switzerland</x:v>
      </x:c>
      <x:c r="M28" s="41" t="n">
        <x:v>47.3769</x:v>
      </x:c>
      <x:c r="N28" s="41" t="n">
        <x:v>8.5417</x:v>
      </x:c>
      <x:c r="O28" s="41" t="str">
        <x:v>https://www.psi.ch/en/news/science-features/correcting-quantum-errors-with-neutral-atom-architectures</x:v>
      </x:c>
      <x:c r="P28" s="41"/>
      <x:c r="Q28" s="41"/>
      <x:c r="R28" s="41" t="str">
        <x:v>rydberg_array; optical_tweezers; quantum_simulation; neutral_atom_qc</x:v>
      </x:c>
      <x:c r="S28" s="41" t="str">
        <x:v>unknown</x:v>
      </x:c>
      <x:c r="T28" s="41" t="str">
        <x:v>gates; analog_simulation; blockade</x:v>
      </x:c>
      <x:c r="U28" s="41" t="str">
        <x:v>yes</x:v>
      </x:c>
      <x:c r="V28" s="41" t="str">
        <x:v>experimental</x:v>
      </x:c>
      <x:c r="W28" s="41" t="str">
        <x:v>mixed</x:v>
      </x:c>
      <x:c r="X28" s="41" t="str">
        <x:v>no</x:v>
      </x:c>
      <x:c r="Y28" s="41"/>
      <x:c r="Z28" s="41" t="str">
        <x:v>Seminar abstract: quantum science with Rydberg atom arrays and atoms trapped in optical tweezers</x:v>
      </x:c>
      <x:c r="AA28" s="41" t="n">
        <x:v>2026</x:v>
      </x:c>
      <x:c r="AB28" s="41" t="str">
        <x:v>2026-06-17</x:v>
      </x:c>
      <x:c r="AC28" s="41" t="str">
        <x:v>https://memento.epfl.ch/event/qse-quantum-seminar-quantum-science-with-rydberg-a/</x:v>
      </x:c>
      <x:c r="AD28" s="41" t="str">
        <x:v>https://www.phys.ethz.ch/news-and-events/d-phys-news/2025/01/breaking-new-ground-doubling-down-on-neutral-atom-quantum-computing.html</x:v>
      </x:c>
      <x:c r="AE28" s="41" t="str">
        <x:v>https://phys.au.dk/ccq/show/artikel/quantum-science-colloquium-wenchao-xu</x:v>
      </x:c>
      <x:c r="AF28" s="41" t="str">
        <x:v>REV-001; REV-003</x:v>
      </x:c>
      <x:c r="AG28" s="41" t="str">
        <x:v>Q-001; Q-004</x:v>
      </x:c>
      <x:c r="AH28" s="41"/>
      <x:c r="AI28" s="41"/>
      <x:c r="AJ28" s="41"/>
      <x:c r="AK28" s="41" t="str">
        <x:v>ETH/PSI sources confirm Wenchao Xu leads Quantum Engineering and works on optically trapped neutral-atom arrays; seminar abstracts explicitly mention controllable Rydberg interactions.</x:v>
      </x:c>
      <x:c r="AL28" s="41" t="str">
        <x:v>Find official group website and publication list; classify species/platform once available.</x:v>
      </x:c>
      <x:c r="AM28" s="15"/>
    </x:row>
    <x:row r="29">
      <x:c r="A29" s="41" t="str">
        <x:v>E-028</x:v>
      </x:c>
      <x:c r="B29" s="41" t="str">
        <x:v>Bernien Lab dual-species Rydberg arrays</x:v>
      </x:c>
      <x:c r="C29" s="41" t="str">
        <x:v>academic</x:v>
      </x:c>
      <x:c r="D29" s="41" t="str">
        <x:v>verified</x:v>
      </x:c>
      <x:c r="E29" s="41" t="str">
        <x:v>A</x:v>
      </x:c>
      <x:c r="F29" s="41" t="n">
        <x:v>5</x:v>
      </x:c>
      <x:c r="G29" s="41" t="str">
        <x:v>Hannes Bernien</x:v>
      </x:c>
      <x:c r="H29" s="41" t="str">
        <x:v>University of Chicago</x:v>
      </x:c>
      <x:c r="I29" s="41" t="str">
        <x:v>Pritzker School of Molecular Engineering</x:v>
      </x:c>
      <x:c r="J29" s="41" t="str">
        <x:v>Chicago</x:v>
      </x:c>
      <x:c r="K29" s="41" t="str">
        <x:v>IL</x:v>
      </x:c>
      <x:c r="L29" s="41" t="str">
        <x:v>United States</x:v>
      </x:c>
      <x:c r="M29" s="41" t="n">
        <x:v>41.7897</x:v>
      </x:c>
      <x:c r="N29" s="41" t="n">
        <x:v>-87.5997</x:v>
      </x:c>
      <x:c r="O29" s="41" t="str">
        <x:v>https://bernienlab.com/</x:v>
      </x:c>
      <x:c r="P29" s="41"/>
      <x:c r="Q29" s="41"/>
      <x:c r="R29" s="41" t="str">
        <x:v>rydberg_array; optical_tweezers; dual_species; neutral_atom_qc; quantum_simulation; qnd; gates</x:v>
      </x:c>
      <x:c r="S29" s="41" t="str">
        <x:v>Rb; Cs</x:v>
      </x:c>
      <x:c r="T29" s="41" t="str">
        <x:v>gates; quantum_simulation; qnd_measurement; dual_species_rydberg</x:v>
      </x:c>
      <x:c r="U29" s="41" t="str">
        <x:v>yes</x:v>
      </x:c>
      <x:c r="V29" s="41" t="str">
        <x:v>experimental</x:v>
      </x:c>
      <x:c r="W29" s="41" t="str">
        <x:v>mixed</x:v>
      </x:c>
      <x:c r="X29" s="41" t="str">
        <x:v>no</x:v>
      </x:c>
      <x:c r="Y29" s="41"/>
      <x:c r="Z29" s="41" t="str">
        <x:v>Dual-species Rb/Cs arrays with Rydberg interactions; neutral-atom quantum processing and simulation</x:v>
      </x:c>
      <x:c r="AA29" s="41" t="n">
        <x:v>2026</x:v>
      </x:c>
      <x:c r="AB29" s="41" t="str">
        <x:v>2026-06-17</x:v>
      </x:c>
      <x:c r="AC29" s="41" t="str">
        <x:v>https://bernienlab.com/</x:v>
      </x:c>
      <x:c r="AD29" s="41" t="str">
        <x:v>https://pme.uchicago.edu/news/dual-species-rydberg-interactions-entanglement-and-new-generation-quantum-processors</x:v>
      </x:c>
      <x:c r="AE29" s="41" t="str">
        <x:v>https://www.nature.com/articles/s41567-024-02683-1</x:v>
      </x:c>
      <x:c r="AF29" s="41" t="str">
        <x:v>REV-001; REV-003; REV-005</x:v>
      </x:c>
      <x:c r="AG29" s="41" t="str">
        <x:v>Q-001; Q-002; Q-003</x:v>
      </x:c>
      <x:c r="AH29" s="41"/>
      <x:c r="AI29" s="41"/>
      <x:c r="AJ29" s="41"/>
      <x:c r="AK29" s="41" t="str">
        <x:v>Core dual-species Rydberg tweezer group. Official lab page shows Rb/Cs atoms in arbitrary geometries using optical tweezers; UChicago page confirms Rydberg entanglement/QND direction.</x:v>
      </x:c>
      <x:c r="AL29" s="41" t="str">
        <x:v>Extract full publication list; verify current affiliation/move status because lab page references Innsbruck relocation news.</x:v>
      </x:c>
      <x:c r="AM29" s="15"/>
    </x:row>
    <x:row r="30">
      <x:c r="A30" s="41" t="str">
        <x:v>E-029</x:v>
      </x:c>
      <x:c r="B30" s="41" t="str">
        <x:v>Vuletic neutral-atom/Rydberg collaborations</x:v>
      </x:c>
      <x:c r="C30" s="41" t="str">
        <x:v>academic</x:v>
      </x:c>
      <x:c r="D30" s="41" t="str">
        <x:v>verified</x:v>
      </x:c>
      <x:c r="E30" s="41" t="str">
        <x:v>B</x:v>
      </x:c>
      <x:c r="F30" s="41" t="n">
        <x:v>4</x:v>
      </x:c>
      <x:c r="G30" s="41" t="str">
        <x:v>Vladan Vuletic</x:v>
      </x:c>
      <x:c r="H30" s="41" t="str">
        <x:v>Massachusetts Institute of Technology</x:v>
      </x:c>
      <x:c r="I30" s="41" t="str">
        <x:v>Department of Physics / RLE / CUA</x:v>
      </x:c>
      <x:c r="J30" s="41" t="str">
        <x:v>Cambridge</x:v>
      </x:c>
      <x:c r="K30" s="41" t="str">
        <x:v>MA</x:v>
      </x:c>
      <x:c r="L30" s="41" t="str">
        <x:v>United States</x:v>
      </x:c>
      <x:c r="M30" s="41" t="n">
        <x:v>42.3601</x:v>
      </x:c>
      <x:c r="N30" s="41" t="n">
        <x:v>-71.0942</x:v>
      </x:c>
      <x:c r="O30" s="41" t="str">
        <x:v>https://eapg.mit.edu/publications-by-subject/cavity-qed-with-atomic-ensembles-quantum-information-science/</x:v>
      </x:c>
      <x:c r="P30" s="41"/>
      <x:c r="Q30" s="41"/>
      <x:c r="R30" s="41" t="str">
        <x:v>rydberg_array; optical_tweezers; neutral_atom_qc; gates; nanophotonics; cavity_qed</x:v>
      </x:c>
      <x:c r="S30" s="41" t="str">
        <x:v>Rb</x:v>
      </x:c>
      <x:c r="T30" s="41" t="str">
        <x:v>gates; cavity_interfaces; qec; blockade</x:v>
      </x:c>
      <x:c r="U30" s="41" t="str">
        <x:v>yes</x:v>
      </x:c>
      <x:c r="V30" s="41" t="str">
        <x:v>mixed</x:v>
      </x:c>
      <x:c r="W30" s="41" t="str">
        <x:v>mixed</x:v>
      </x:c>
      <x:c r="X30" s="41" t="str">
        <x:v>no</x:v>
      </x:c>
      <x:c r="Y30" s="41"/>
      <x:c r="Z30" s="41" t="str">
        <x:v>CUA/Lukin/Vuletic Rydberg array papers, high-fidelity gates, coherent transport and cavity-mediated neutral atom operations</x:v>
      </x:c>
      <x:c r="AA30" s="41" t="n">
        <x:v>2026</x:v>
      </x:c>
      <x:c r="AB30" s="41" t="str">
        <x:v>2026-06-17</x:v>
      </x:c>
      <x:c r="AC30" s="41" t="str">
        <x:v>https://eapg.mit.edu/publications-by-subject/cavity-qed-with-atomic-ensembles-quantum-information-science/</x:v>
      </x:c>
      <x:c r="AD30" s="41" t="str">
        <x:v>https://cua.mit.edu/news/cua-researchers-develop-a-new-quantum-processor-with-dynamic-nonlocal-connectivity-utilizing-the-coherent-transport-of-entangled-atom-arrays</x:v>
      </x:c>
      <x:c r="AE30" s="41" t="str">
        <x:v>https://arxiv.org/abs/2112.03923</x:v>
      </x:c>
      <x:c r="AF30" s="41" t="str">
        <x:v>REV-001; REV-003; REV-006</x:v>
      </x:c>
      <x:c r="AG30" s="41" t="str">
        <x:v>Q-001; Q-002; Q-006</x:v>
      </x:c>
      <x:c r="AH30" s="41"/>
      <x:c r="AI30" s="41"/>
      <x:c r="AJ30" s="41"/>
      <x:c r="AK30" s="41" t="str">
        <x:v>Relevant mixed collaboration node rather than a clean standalone Rydberg-array lab row; important for Cambridge ecosystem and cavity/interface directions.</x:v>
      </x:c>
      <x:c r="AL30" s="41" t="str">
        <x:v>Decide whether to keep as separate entry or merge under Harvard-MIT-CUA collaboration cluster.</x:v>
      </x:c>
      <x:c r="AM30" s="15"/>
    </x:row>
    <x:row r="31">
      <x:c r="A31" s="41" t="str">
        <x:v>E-030</x:v>
      </x:c>
      <x:c r="B31" s="41" t="str">
        <x:v>Google Quantum AI neutral-atom hardware team</x:v>
      </x:c>
      <x:c r="C31" s="41" t="str">
        <x:v>company</x:v>
      </x:c>
      <x:c r="D31" s="41" t="str">
        <x:v>candidate</x:v>
      </x:c>
      <x:c r="E31" s="41" t="str">
        <x:v>B</x:v>
      </x:c>
      <x:c r="F31" s="41" t="n">
        <x:v>4</x:v>
      </x:c>
      <x:c r="G31" s="41" t="str">
        <x:v>Adam M. Kaufman / Google Quantum AI team</x:v>
      </x:c>
      <x:c r="H31" s="41" t="str">
        <x:v>Google Quantum AI / JILA collaboration</x:v>
      </x:c>
      <x:c r="I31" s="41" t="str">
        <x:v>Neutral atom hardware team</x:v>
      </x:c>
      <x:c r="J31" s="41" t="str">
        <x:v>Boulder</x:v>
      </x:c>
      <x:c r="K31" s="41" t="str">
        <x:v>CO</x:v>
      </x:c>
      <x:c r="L31" s="41" t="str">
        <x:v>United States</x:v>
      </x:c>
      <x:c r="M31" s="41" t="n">
        <x:v>40.015</x:v>
      </x:c>
      <x:c r="N31" s="41" t="n">
        <x:v>-105.2705</x:v>
      </x:c>
      <x:c r="O31" s="41" t="str">
        <x:v>https://blog.google/innovation-and-ai/technology/research/neutral-atom-quantum-computers/</x:v>
      </x:c>
      <x:c r="P31" s="41"/>
      <x:c r="Q31" s="41"/>
      <x:c r="R31" s="41" t="str">
        <x:v>neutral_atom_qc; optical_tweezers; qec; company; emerging_program</x:v>
      </x:c>
      <x:c r="S31" s="41" t="str">
        <x:v>Yb; unknown</x:v>
      </x:c>
      <x:c r="T31" s="41" t="str">
        <x:v>qec; gates; architecture; neutral_atom_hardware</x:v>
      </x:c>
      <x:c r="U31" s="41" t="str">
        <x:v>unclear</x:v>
      </x:c>
      <x:c r="V31" s="41" t="str">
        <x:v>mixed</x:v>
      </x:c>
      <x:c r="W31" s="41" t="str">
        <x:v>mixed</x:v>
      </x:c>
      <x:c r="X31" s="41" t="str">
        <x:v>yes</x:v>
      </x:c>
      <x:c r="Y31" s="41"/>
      <x:c r="Z31" s="41" t="str">
        <x:v>Google announced a neutral-atom hardware team led by Adam Kaufman in Boulder; exact public Rydberg/tweezer implementation details still to validate.</x:v>
      </x:c>
      <x:c r="AA31" s="41" t="n">
        <x:v>2026</x:v>
      </x:c>
      <x:c r="AB31" s="41" t="str">
        <x:v>2026-06-17</x:v>
      </x:c>
      <x:c r="AC31" s="41" t="str">
        <x:v>https://blog.google/innovation-and-ai/technology/research/neutral-atom-quantum-computers/</x:v>
      </x:c>
      <x:c r="AD31" s="41" t="str">
        <x:v>https://www.colorado.edu/jila/2026/03/24/google-quantum-ai-engages-jila-fellow-adam-kaufman-lead-new-neutral-atom-quantum</x:v>
      </x:c>
      <x:c r="AE31" s="41" t="str">
        <x:v>https://www.colorado.edu/jila/kaufman</x:v>
      </x:c>
      <x:c r="AF31" s="41" t="str">
        <x:v>REV-006</x:v>
      </x:c>
      <x:c r="AG31" s="41" t="str">
        <x:v>Q-002; Q-006</x:v>
      </x:c>
      <x:c r="AH31" s="41"/>
      <x:c r="AI31" s="41"/>
      <x:c r="AJ31" s="41"/>
      <x:c r="AK31" s="41" t="str">
        <x:v>Important emerging industrial node. Treat as B/candidate because official announcement confirms neutral atoms, but public details about Rydberg/tweezer architecture are still sparse.</x:v>
      </x:c>
      <x:c r="AL31" s="41" t="str">
        <x:v>Monitor publications/jobs/patents; separate from Kaufman academic group if it becomes a distinct industrial lab.</x:v>
      </x:c>
      <x:c r="AM31" s="15"/>
    </x:row>
    <x:row r="32">
      <x:c r="A32" s="41" t="str">
        <x:v>E-031</x:v>
      </x:c>
      <x:c r="B32" s="41" t="str">
        <x:v>CIQC Neutral Atom QIS core</x:v>
      </x:c>
      <x:c r="C32" s="41" t="str">
        <x:v>mixed_team</x:v>
      </x:c>
      <x:c r="D32" s="41" t="str">
        <x:v>candidate</x:v>
      </x:c>
      <x:c r="E32" s="41" t="str">
        <x:v>B</x:v>
      </x:c>
      <x:c r="F32" s="41" t="n">
        <x:v>3</x:v>
      </x:c>
      <x:c r="G32" s="41" t="str">
        <x:v>CIQC neutral atom faculty / collaborators</x:v>
      </x:c>
      <x:c r="H32" s="41" t="str">
        <x:v>Challenge Institute for Quantum Computation / UC Berkeley and partners</x:v>
      </x:c>
      <x:c r="I32" s="41" t="str">
        <x:v>Neutral Atom QIS research core</x:v>
      </x:c>
      <x:c r="J32" s="41" t="str">
        <x:v>Berkeley</x:v>
      </x:c>
      <x:c r="K32" s="41" t="str">
        <x:v>CA</x:v>
      </x:c>
      <x:c r="L32" s="41" t="str">
        <x:v>United States</x:v>
      </x:c>
      <x:c r="M32" s="41" t="n">
        <x:v>37.8715</x:v>
      </x:c>
      <x:c r="N32" s="41" t="n">
        <x:v>-122.273</x:v>
      </x:c>
      <x:c r="O32" s="41" t="str">
        <x:v>https://ciqc.berkeley.edu/research/research-cores/neutral-atom-qis/</x:v>
      </x:c>
      <x:c r="P32" s="41"/>
      <x:c r="Q32" s="41"/>
      <x:c r="R32" s="41" t="str">
        <x:v>neutral_atom_qc; optical_tweezers; optical_lattice; rydberg; cavity_qed; gates</x:v>
      </x:c>
      <x:c r="S32" s="41" t="str">
        <x:v>unknown</x:v>
      </x:c>
      <x:c r="T32" s="41" t="str">
        <x:v>gates; cavity_interfaces; architecture</x:v>
      </x:c>
      <x:c r="U32" s="41" t="str">
        <x:v>yes_or_lattice</x:v>
      </x:c>
      <x:c r="V32" s="41" t="str">
        <x:v>mixed</x:v>
      </x:c>
      <x:c r="W32" s="41" t="str">
        <x:v>mixed</x:v>
      </x:c>
      <x:c r="X32" s="41" t="str">
        <x:v>no</x:v>
      </x:c>
      <x:c r="Y32" s="41"/>
      <x:c r="Z32" s="41" t="str">
        <x:v>CIQC page explicitly lists optical tweezer arrays or optical lattice, cavities, Rydberg atoms and qubit gates as tools in the Neutral Atom QIS core.</x:v>
      </x:c>
      <x:c r="AA32" s="41" t="n">
        <x:v>2026</x:v>
      </x:c>
      <x:c r="AB32" s="41" t="str">
        <x:v>2026-06-17</x:v>
      </x:c>
      <x:c r="AC32" s="41" t="str">
        <x:v>https://ciqc.berkeley.edu/research/research-cores/neutral-atom-qis/</x:v>
      </x:c>
      <x:c r="AD32" s="41"/>
      <x:c r="AE32" s="41"/>
      <x:c r="AF32" s="41" t="str">
        <x:v>REV-006</x:v>
      </x:c>
      <x:c r="AG32" s="41" t="str">
        <x:v>Q-002; Q-006</x:v>
      </x:c>
      <x:c r="AH32" s="41"/>
      <x:c r="AI32" s="41"/>
      <x:c r="AJ32" s="41"/>
      <x:c r="AK32" s="41" t="str">
        <x:v>Good ecosystem/program node, but not yet resolved to a single lab/PI or paper lineage.</x:v>
      </x:c>
      <x:c r="AL32" s="41" t="str">
        <x:v>Expand into concrete PI/lab rows; identify which subgroups are tweezer-Rydberg core vs adjacent.</x:v>
      </x:c>
      <x:c r="AM32" s="15"/>
    </x:row>
    <x:row r="33">
      <x:c r="A33" s="41" t="str">
        <x:v>E-032</x:v>
      </x:c>
      <x:c r="B33" s="41" t="str">
        <x:v>Tsinghua 87Rb Rydberg Atom Array</x:v>
      </x:c>
      <x:c r="C33" s="41" t="str">
        <x:v>academic</x:v>
      </x:c>
      <x:c r="D33" s="41" t="str">
        <x:v>verified</x:v>
      </x:c>
      <x:c r="E33" s="41" t="str">
        <x:v>A</x:v>
      </x:c>
      <x:c r="F33" s="41" t="n">
        <x:v>5</x:v>
      </x:c>
      <x:c r="G33" s="41" t="str">
        <x:v>Ultracold Tsinghua / RAA team</x:v>
      </x:c>
      <x:c r="H33" s="41" t="str">
        <x:v>Tsinghua University</x:v>
      </x:c>
      <x:c r="I33" s="41" t="str">
        <x:v>Rydberg Atom Array 87Rb / Department of Physics</x:v>
      </x:c>
      <x:c r="J33" s="41" t="str">
        <x:v>Beijing</x:v>
      </x:c>
      <x:c r="K33" s="41" t="str">
        <x:v>Beijing</x:v>
      </x:c>
      <x:c r="L33" s="41" t="str">
        <x:v>China</x:v>
      </x:c>
      <x:c r="M33" s="41" t="n">
        <x:v>40.0007</x:v>
      </x:c>
      <x:c r="N33" s="41" t="n">
        <x:v>116.3264</x:v>
      </x:c>
      <x:c r="O33" s="41" t="str">
        <x:v>https://info.phys.tsinghua.edu.cn/coldquantum/raa.html</x:v>
      </x:c>
      <x:c r="P33" s="41"/>
      <x:c r="Q33" s="41"/>
      <x:c r="R33" s="41" t="str">
        <x:v>rydberg_array; optical_tweezers; neutral_atom_qc; quantum_simulation; atom_sorting</x:v>
      </x:c>
      <x:c r="S33" s="41" t="str">
        <x:v>Rb</x:v>
      </x:c>
      <x:c r="T33" s="41" t="str">
        <x:v>analog_simulation; blockade; quantum_many_body</x:v>
      </x:c>
      <x:c r="U33" s="41" t="str">
        <x:v>yes</x:v>
      </x:c>
      <x:c r="V33" s="41" t="str">
        <x:v>experimental</x:v>
      </x:c>
      <x:c r="W33" s="41" t="str">
        <x:v>mixed</x:v>
      </x:c>
      <x:c r="X33" s="41" t="str">
        <x:v>no</x:v>
      </x:c>
      <x:c r="Y33" s="41"/>
      <x:c r="Z33" s="41" t="str">
        <x:v>Official page describes single 87Rb atoms in focused tweezers, SLM-generated arbitrary arrays, atom sorting and Rydberg atom arrays for many-body physics.</x:v>
      </x:c>
      <x:c r="AA33" s="41" t="n">
        <x:v>2025</x:v>
      </x:c>
      <x:c r="AB33" s="41" t="str">
        <x:v>2026-06-17</x:v>
      </x:c>
      <x:c r="AC33" s="41" t="str">
        <x:v>https://info.phys.tsinghua.edu.cn/coldquantum/raa.html</x:v>
      </x:c>
      <x:c r="AD33" s="41" t="str">
        <x:v>https://arxiv.org/html/2505.07930v1</x:v>
      </x:c>
      <x:c r="AE33" s="41"/>
      <x:c r="AF33" s="41" t="str">
        <x:v>REV-001; REV-003</x:v>
      </x:c>
      <x:c r="AG33" s="41" t="str">
        <x:v>Q-001; Q-004</x:v>
      </x:c>
      <x:c r="AH33" s="41"/>
      <x:c r="AI33" s="41"/>
      <x:c r="AJ33" s="41"/>
      <x:c r="AK33" s="41" t="str">
        <x:v>Core China node. Strong fit for target taxonomy: 87Rb, optical tweezers, SLM arrays, Rydberg interactions.</x:v>
      </x:c>
      <x:c r="AL33" s="41" t="str">
        <x:v>Extract PI names, recent papers and exact city/lab affiliation normalization.</x:v>
      </x:c>
      <x:c r="AM33" s="15"/>
    </x:row>
    <x:row r="34">
      <x:c r="A34" s="41" t="str">
        <x:v>E-033</x:v>
      </x:c>
      <x:c r="B34" s="41" t="str">
        <x:v>Takahashi Yb Rydberg tweezer-array program</x:v>
      </x:c>
      <x:c r="C34" s="41" t="str">
        <x:v>academic</x:v>
      </x:c>
      <x:c r="D34" s="41" t="str">
        <x:v>verified</x:v>
      </x:c>
      <x:c r="E34" s="41" t="str">
        <x:v>B</x:v>
      </x:c>
      <x:c r="F34" s="41" t="n">
        <x:v>4</x:v>
      </x:c>
      <x:c r="G34" s="41" t="str">
        <x:v>Yoshiro Takahashi; Yosuke Takasu; Yuma Nakamura</x:v>
      </x:c>
      <x:c r="H34" s="41" t="str">
        <x:v>Kyoto University</x:v>
      </x:c>
      <x:c r="I34" s="41" t="str">
        <x:v>Department of Physics / Yb atom-array program</x:v>
      </x:c>
      <x:c r="J34" s="41" t="str">
        <x:v>Kyoto</x:v>
      </x:c>
      <x:c r="K34" s="41" t="str">
        <x:v>Kyoto</x:v>
      </x:c>
      <x:c r="L34" s="41" t="str">
        <x:v>Japan</x:v>
      </x:c>
      <x:c r="M34" s="41" t="n">
        <x:v>35.0262</x:v>
      </x:c>
      <x:c r="N34" s="41" t="n">
        <x:v>135.7808</x:v>
      </x:c>
      <x:c r="O34" s="41" t="str">
        <x:v>https://www.scphys.kyoto-u.ac.jp/en/</x:v>
      </x:c>
      <x:c r="P34" s="41"/>
      <x:c r="Q34" s="41"/>
      <x:c r="R34" s="41" t="str">
        <x:v>rydberg_array; optical_tweezers; alkaline_earth; ytterbium; spectroscopy; neutral_atom_qc</x:v>
      </x:c>
      <x:c r="S34" s="41" t="str">
        <x:v>Yb</x:v>
      </x:c>
      <x:c r="T34" s="41" t="str">
        <x:v>single_photon_rydberg; spectroscopy; gates_candidate; quantum_simulation</x:v>
      </x:c>
      <x:c r="U34" s="41" t="str">
        <x:v>yes</x:v>
      </x:c>
      <x:c r="V34" s="41" t="str">
        <x:v>experimental</x:v>
      </x:c>
      <x:c r="W34" s="41" t="str">
        <x:v>mixed</x:v>
      </x:c>
      <x:c r="X34" s="41" t="str">
        <x:v>no</x:v>
      </x:c>
      <x:c r="Y34" s="41"/>
      <x:c r="Z34" s="41" t="str">
        <x:v>High-resolution spectroscopy and single-photon Rydberg excitation of reconfigurable Yb atom tweezer arrays; high-power UV Rydberg excitation work.</x:v>
      </x:c>
      <x:c r="AA34" s="41" t="n">
        <x:v>2026</x:v>
      </x:c>
      <x:c r="AB34" s="41" t="str">
        <x:v>2026-06-17</x:v>
      </x:c>
      <x:c r="AC34" s="41" t="str">
        <x:v>https://arxiv.org/abs/2204.07995</x:v>
      </x:c>
      <x:c r="AD34" s="41" t="str">
        <x:v>https://arxiv.org/abs/2410.19284</x:v>
      </x:c>
      <x:c r="AE34" s="41" t="str">
        <x:v>https://jpsht.jps.jp/article/2-031/</x:v>
      </x:c>
      <x:c r="AF34" s="41" t="str">
        <x:v>REV-005</x:v>
      </x:c>
      <x:c r="AG34" s="41" t="str">
        <x:v>Q-005</x:v>
      </x:c>
      <x:c r="AH34" s="41"/>
      <x:c r="AI34" s="41"/>
      <x:c r="AJ34" s="41"/>
      <x:c r="AK34" s="41" t="str">
        <x:v>Relevant Yb tweezer-Rydberg node. Mark B until an official current lab page and full group identity are normalized.</x:v>
      </x:c>
      <x:c r="AL34" s="41" t="str">
        <x:v>Find official lab/group URL and map coauthors to institution(s); check if still active in Rydberg gates or mainly spectroscopy/imaging.</x:v>
      </x:c>
      <x:c r="AM34" s="15"/>
    </x:row>
    <x:row r="35">
      <x:c r="A35" s="41" t="str">
        <x:v>E-034</x:v>
      </x:c>
      <x:c r="B35" s="41" t="str">
        <x:v>Pupillo Quantum Physics / Rydberg-array theory</x:v>
      </x:c>
      <x:c r="C35" s="41" t="str">
        <x:v>theory_group</x:v>
      </x:c>
      <x:c r="D35" s="41" t="str">
        <x:v>verified</x:v>
      </x:c>
      <x:c r="E35" s="41" t="str">
        <x:v>B</x:v>
      </x:c>
      <x:c r="F35" s="41" t="n">
        <x:v>4</x:v>
      </x:c>
      <x:c r="G35" s="41" t="str">
        <x:v>Guido Pupillo</x:v>
      </x:c>
      <x:c r="H35" s="41" t="str">
        <x:v>Université de Strasbourg / CNRS / CESQ</x:v>
      </x:c>
      <x:c r="I35" s="41" t="str">
        <x:v>Pupillo Quantum Physics group</x:v>
      </x:c>
      <x:c r="J35" s="41" t="str">
        <x:v>Strasbourg</x:v>
      </x:c>
      <x:c r="K35" s="41" t="str">
        <x:v>Grand Est</x:v>
      </x:c>
      <x:c r="L35" s="41" t="str">
        <x:v>France</x:v>
      </x:c>
      <x:c r="M35" s="41" t="n">
        <x:v>48.5839</x:v>
      </x:c>
      <x:c r="N35" s="41" t="n">
        <x:v>7.7455</x:v>
      </x:c>
      <x:c r="O35" s="41" t="str">
        <x:v>https://isis.unistra.fr/en/cesq/pupillo-quantum-physics/</x:v>
      </x:c>
      <x:c r="P35" s="41"/>
      <x:c r="Q35" s="41"/>
      <x:c r="R35" s="41" t="str">
        <x:v>rydberg_array; theory; quantum_simulation; neutral_atom_qc; qec; optimal_control; software</x:v>
      </x:c>
      <x:c r="S35" s="41" t="str">
        <x:v>platform_agnostic</x:v>
      </x:c>
      <x:c r="T35" s="41" t="str">
        <x:v>qec; gates; optimal_control; simulation; architecture</x:v>
      </x:c>
      <x:c r="U35" s="41" t="str">
        <x:v>not_applicable</x:v>
      </x:c>
      <x:c r="V35" s="41" t="str">
        <x:v>no</x:v>
      </x:c>
      <x:c r="W35" s="41" t="str">
        <x:v>theory</x:v>
      </x:c>
      <x:c r="X35" s="41" t="str">
        <x:v>yes</x:v>
      </x:c>
      <x:c r="Y35" s="41" t="str">
        <x:v>QPerfect</x:v>
      </x:c>
      <x:c r="Z35" s="41" t="str">
        <x:v>Time-optimal two- and three-qubit gates for Rydberg atoms; low-depth QEC via three-qubit gates in Rydberg atom arrays; QPerfect co-founder linkage.</x:v>
      </x:c>
      <x:c r="AA35" s="41" t="n">
        <x:v>2026</x:v>
      </x:c>
      <x:c r="AB35" s="41" t="str">
        <x:v>2026-06-17</x:v>
      </x:c>
      <x:c r="AC35" s="41" t="str">
        <x:v>https://isis.unistra.fr/en/cesq/pupillo-quantum-physics/</x:v>
      </x:c>
      <x:c r="AD35" s="41" t="str">
        <x:v>https://quantum-journal.org/papers/q-2022-05-13-712/</x:v>
      </x:c>
      <x:c r="AE35" s="41" t="str">
        <x:v>https://arxiv.org/html/2604.21876v1</x:v>
      </x:c>
      <x:c r="AF35" s="41" t="str">
        <x:v>REV-003; REV-006</x:v>
      </x:c>
      <x:c r="AG35" s="41" t="str">
        <x:v>Q-006; Q-007</x:v>
      </x:c>
      <x:c r="AH35" s="41"/>
      <x:c r="AI35" s="41"/>
      <x:c r="AJ35" s="41"/>
      <x:c r="AK35" s="41" t="str">
        <x:v>Core theory/software node for neutral-atom/Rydberg gates and QEC. Useful for non-experimental side of the future ecosystem map.</x:v>
      </x:c>
      <x:c r="AL35" s="41" t="str">
        <x:v>Link concrete publications to QPerfect and distinguish theory group vs company product rows.</x:v>
      </x:c>
      <x:c r="AM35" s="15"/>
    </x:row>
    <x:row r="36">
      <x:c r="A36" s="41" t="str">
        <x:v>E-035</x:v>
      </x:c>
      <x:c r="B36" s="41" t="str">
        <x:v>Regal Group cryogenic Rydberg atom arrays</x:v>
      </x:c>
      <x:c r="C36" s="41" t="str">
        <x:v>academic</x:v>
      </x:c>
      <x:c r="D36" s="41" t="str">
        <x:v>verified</x:v>
      </x:c>
      <x:c r="E36" s="41" t="str">
        <x:v>B</x:v>
      </x:c>
      <x:c r="F36" s="41" t="n">
        <x:v>4</x:v>
      </x:c>
      <x:c r="G36" s="41" t="str">
        <x:v>Cindy Regal / Regal group</x:v>
      </x:c>
      <x:c r="H36" s="41" t="str">
        <x:v>JILA / University of Colorado Boulder</x:v>
      </x:c>
      <x:c r="I36" s="41" t="str">
        <x:v>Regal Group</x:v>
      </x:c>
      <x:c r="J36" s="41" t="str">
        <x:v>Boulder</x:v>
      </x:c>
      <x:c r="K36" s="41" t="str">
        <x:v>CO</x:v>
      </x:c>
      <x:c r="L36" s="41" t="str">
        <x:v>United States</x:v>
      </x:c>
      <x:c r="M36" s="41" t="n">
        <x:v>40.015</x:v>
      </x:c>
      <x:c r="N36" s="41" t="n">
        <x:v>-105.2705</x:v>
      </x:c>
      <x:c r="O36" s="41" t="str">
        <x:v>https://www.colorado.edu/jila/regal-group-research</x:v>
      </x:c>
      <x:c r="P36" s="41"/>
      <x:c r="Q36" s="41"/>
      <x:c r="R36" s="41" t="str">
        <x:v>rydberg_array; optical_tweezers; cryogenic; neutral_atom_qc; quantum_simulation; loading</x:v>
      </x:c>
      <x:c r="S36" s="41" t="str">
        <x:v>Rb; bosonic atoms; unknown</x:v>
      </x:c>
      <x:c r="T36" s="41" t="str">
        <x:v>cryogenic_rydberg_arrays; analog_simulation; loading; platform_methods</x:v>
      </x:c>
      <x:c r="U36" s="41" t="str">
        <x:v>yes</x:v>
      </x:c>
      <x:c r="V36" s="41" t="str">
        <x:v>experimental</x:v>
      </x:c>
      <x:c r="W36" s="41" t="str">
        <x:v>mixed</x:v>
      </x:c>
      <x:c r="X36" s="41" t="str">
        <x:v>no</x:v>
      </x:c>
      <x:c r="Y36" s="41"/>
      <x:c r="Z36" s="41" t="str">
        <x:v>Official JILA page says the group is building a cryogenic apparatus for large Rydberg atom systems in optical tweezers, in collaboration with Kaufman group.</x:v>
      </x:c>
      <x:c r="AA36" s="41" t="n">
        <x:v>2026</x:v>
      </x:c>
      <x:c r="AB36" s="41" t="str">
        <x:v>2026-06-17</x:v>
      </x:c>
      <x:c r="AC36" s="41" t="str">
        <x:v>https://www.colorado.edu/jila/regal-group-research</x:v>
      </x:c>
      <x:c r="AD36" s="41" t="str">
        <x:v>https://www.colorado.edu/jila/regal</x:v>
      </x:c>
      <x:c r="AE36" s="41" t="str">
        <x:v>https://benasque.org/2026uqms/talks_contr/026_Thierry_Lahaye.pdf</x:v>
      </x:c>
      <x:c r="AF36" s="41" t="str">
        <x:v>REV-001; REV-006</x:v>
      </x:c>
      <x:c r="AG36" s="41" t="str">
        <x:v>Q-001; Q-005</x:v>
      </x:c>
      <x:c r="AH36" s="41"/>
      <x:c r="AI36" s="41"/>
      <x:c r="AJ36" s="41"/>
      <x:c r="AK36" s="41" t="str">
        <x:v>Likely should remain B because it overlaps with Kaufman; still useful as a distinct apparatus/team node for cryogenic Rydberg arrays.</x:v>
      </x:c>
      <x:c r="AL36" s="41" t="str">
        <x:v>Verify species and publications; decide whether to merge with E-014 Kaufman or keep separate as collaborator/appartus row.</x:v>
      </x:c>
      <x:c r="AM36" s="15"/>
    </x:row>
    <x:row r="37">
      <x:c r="A37" s="41" t="str">
        <x:v>E-036</x:v>
      </x:c>
      <x:c r="B37" s="41" t="str">
        <x:v>Covey Lab photonic interfaces for Rydberg atom arrays</x:v>
      </x:c>
      <x:c r="C37" s="41" t="str">
        <x:v>academic</x:v>
      </x:c>
      <x:c r="D37" s="41" t="str">
        <x:v>verified</x:v>
      </x:c>
      <x:c r="E37" s="41" t="str">
        <x:v>B</x:v>
      </x:c>
      <x:c r="F37" s="41" t="n">
        <x:v>4</x:v>
      </x:c>
      <x:c r="G37" s="41" t="str">
        <x:v>Jacob P. Covey</x:v>
      </x:c>
      <x:c r="H37" s="41" t="str">
        <x:v>University of Illinois Urbana-Champaign</x:v>
      </x:c>
      <x:c r="I37" s="41" t="str">
        <x:v>Department of Physics / IQUIST</x:v>
      </x:c>
      <x:c r="J37" s="41" t="str">
        <x:v>Urbana-Champaign</x:v>
      </x:c>
      <x:c r="K37" s="41" t="str">
        <x:v>IL</x:v>
      </x:c>
      <x:c r="L37" s="41" t="str">
        <x:v>United States</x:v>
      </x:c>
      <x:c r="M37" s="41" t="n">
        <x:v>40.1106</x:v>
      </x:c>
      <x:c r="N37" s="41" t="n">
        <x:v>-88.2073</x:v>
      </x:c>
      <x:c r="O37" s="41" t="str">
        <x:v>https://iquist.illinois.edu/people/jacob-covey</x:v>
      </x:c>
      <x:c r="P37" s="41"/>
      <x:c r="Q37" s="41"/>
      <x:c r="R37" s="41" t="str">
        <x:v>rydberg_array; optical_tweezers; photonic_interface; neutral_atom_qc; quantum_networks; alkaline_earth</x:v>
      </x:c>
      <x:c r="S37" s="41" t="str">
        <x:v>Sr; Yb; unknown</x:v>
      </x:c>
      <x:c r="T37" s="41" t="str">
        <x:v>photonic_interfaces; quantum_networks; gates; architecture</x:v>
      </x:c>
      <x:c r="U37" s="41" t="str">
        <x:v>yes</x:v>
      </x:c>
      <x:c r="V37" s="41" t="str">
        <x:v>experimental</x:v>
      </x:c>
      <x:c r="W37" s="41" t="str">
        <x:v>mixed</x:v>
      </x:c>
      <x:c r="X37" s="41" t="str">
        <x:v>no</x:v>
      </x:c>
      <x:c r="Y37" s="41"/>
      <x:c r="Z37" s="41" t="str">
        <x:v>Official UIUC/IQUIST page lists Rydberg atom arrays; CAS page describes arrays of neutral atoms in optical tweezers with interactions mediated by highly excited Rydberg states.</x:v>
      </x:c>
      <x:c r="AA37" s="41" t="n">
        <x:v>2026</x:v>
      </x:c>
      <x:c r="AB37" s="41" t="str">
        <x:v>2026-06-17</x:v>
      </x:c>
      <x:c r="AC37" s="41" t="str">
        <x:v>https://iquist.illinois.edu/people/jacob-covey</x:v>
      </x:c>
      <x:c r="AD37" s="41" t="str">
        <x:v>https://cas.illinois.edu/person/jacob-covey</x:v>
      </x:c>
      <x:c r="AE37" s="41" t="str">
        <x:v>https://www.nature.com/articles/s41534-023-00759-9</x:v>
      </x:c>
      <x:c r="AF37" s="41" t="str">
        <x:v>REV-006</x:v>
      </x:c>
      <x:c r="AG37" s="41" t="str">
        <x:v>Q-002; Q-006</x:v>
      </x:c>
      <x:c r="AH37" s="41"/>
      <x:c r="AI37" s="41"/>
      <x:c r="AJ37" s="41"/>
      <x:c r="AK37" s="41" t="str">
        <x:v>Important US node for interfaces/networks, not only standalone processors. Keep B until exact species/platform and active Rydberg-array publications are extracted.</x:v>
      </x:c>
      <x:c r="AL37" s="41" t="str">
        <x:v>Open group website/publication list; add 2024-2026 lab papers.</x:v>
      </x:c>
      <x:c r="AM37" s="15"/>
    </x:row>
    <x:row r="38">
      <x:c r="A38" s="41" t="str">
        <x:v>E-037</x:v>
      </x:c>
      <x:c r="B38" s="41" t="str">
        <x:v>Strathclyde neutral-atom/Rydberg entanglement and QEC candidates</x:v>
      </x:c>
      <x:c r="C38" s="41" t="str">
        <x:v>academic</x:v>
      </x:c>
      <x:c r="D38" s="41" t="str">
        <x:v>needs_review</x:v>
      </x:c>
      <x:c r="E38" s="41" t="str">
        <x:v>C</x:v>
      </x:c>
      <x:c r="F38" s="41" t="n">
        <x:v>3</x:v>
      </x:c>
      <x:c r="G38" s="41" t="str">
        <x:v>Jonathan D. Pritchard; Kieran Craig; collaborators</x:v>
      </x:c>
      <x:c r="H38" s="41" t="str">
        <x:v>University of Strathclyde</x:v>
      </x:c>
      <x:c r="I38" s="41" t="str">
        <x:v>SUPA / Department of Physics</x:v>
      </x:c>
      <x:c r="J38" s="41" t="str">
        <x:v>Glasgow</x:v>
      </x:c>
      <x:c r="K38" s="41" t="str">
        <x:v>Scotland</x:v>
      </x:c>
      <x:c r="L38" s="41" t="str">
        <x:v>United Kingdom</x:v>
      </x:c>
      <x:c r="M38" s="41" t="n">
        <x:v>55.862</x:v>
      </x:c>
      <x:c r="N38" s="41" t="n">
        <x:v>-4.242</x:v>
      </x:c>
      <x:c r="O38" s="41" t="str">
        <x:v>https://pureportal.strath.ac.uk/en/publications/deterministic-fast-scrambling-with-neutral-atom-arrays</x:v>
      </x:c>
      <x:c r="P38" s="41"/>
      <x:c r="Q38" s="41"/>
      <x:c r="R38" s="41" t="str">
        <x:v>rydberg_atoms; neutral_atom_qc; optical_tweezers_candidate; qec; theory; experimental_history</x:v>
      </x:c>
      <x:c r="S38" s="41" t="str">
        <x:v>Cs; unknown</x:v>
      </x:c>
      <x:c r="T38" s="41" t="str">
        <x:v>entanglement; qec_candidate; architecture; fast_scrambling</x:v>
      </x:c>
      <x:c r="U38" s="41" t="str">
        <x:v>unclear</x:v>
      </x:c>
      <x:c r="V38" s="41" t="str">
        <x:v>mixed</x:v>
      </x:c>
      <x:c r="W38" s="41" t="str">
        <x:v>mixed</x:v>
      </x:c>
      <x:c r="X38" s="41" t="str">
        <x:v>no</x:v>
      </x:c>
      <x:c r="Y38" s="41"/>
      <x:c r="Z38" s="41" t="str">
        <x:v>Historical neutral-atom Rydberg entanglement; workshop material mentions cryogenic dual-species arrays for QEC; Pure entry gives Rydberg interactions + auxiliary tweezer shuffling.</x:v>
      </x:c>
      <x:c r="AA38" s="41" t="n">
        <x:v>2025</x:v>
      </x:c>
      <x:c r="AB38" s="41" t="str">
        <x:v>2026-06-17</x:v>
      </x:c>
      <x:c r="AC38" s="41" t="str">
        <x:v>https://strathprints.strath.ac.uk/66084/8/Picken_etal_QST2018_Entanglement_of_neutral_atom_qubits_with_long_ground-Rydberg.pdf</x:v>
      </x:c>
      <x:c r="AD38" s="41" t="str">
        <x:v>https://pureportal.strath.ac.uk/en/publications/deterministic-fast-scrambling-with-neutral-atom-arrays/</x:v>
      </x:c>
      <x:c r="AE38" s="41" t="str">
        <x:v>https://qca-cluster.org/wp-content/uploads/2025/06/NeutralAtomQEC-Workshop-Programme.pdf</x:v>
      </x:c>
      <x:c r="AF38" s="41" t="str">
        <x:v>REV-003; REV-006</x:v>
      </x:c>
      <x:c r="AG38" s="41" t="str">
        <x:v>Q-002; Q-006</x:v>
      </x:c>
      <x:c r="AH38" s="41"/>
      <x:c r="AI38" s="41"/>
      <x:c r="AJ38" s="41"/>
      <x:c r="AK38" s="41" t="str">
        <x:v>Candidate/adjacent: target relevance is plausible but current optical-tweezer/Rydberg-array experimental status needs primary validation.</x:v>
      </x:c>
      <x:c r="AL38" s="41" t="str">
        <x:v>Find current group page and recent papers; do not promote above C until primary evidence is clear.</x:v>
      </x:c>
      <x:c r="AM38" s="15"/>
    </x:row>
    <x:row r="39">
      <x:c r="A39" s="15" t="str">
        <x:v>E-038</x:v>
      </x:c>
      <x:c r="B39" s="15" t="str">
        <x:v>Loh Lab / Duke neutral-atom arrays</x:v>
      </x:c>
      <x:c r="C39" s="15" t="str">
        <x:v>academic</x:v>
      </x:c>
      <x:c r="D39" s="15" t="str">
        <x:v>verified</x:v>
      </x:c>
      <x:c r="E39" s="15" t="str">
        <x:v>B</x:v>
      </x:c>
      <x:c r="F39" s="15" t="n">
        <x:v>4</x:v>
      </x:c>
      <x:c r="G39" s="15" t="str">
        <x:v>Huanqian Loh</x:v>
      </x:c>
      <x:c r="H39" s="15" t="str">
        <x:v>Duke University</x:v>
      </x:c>
      <x:c r="I39" s="15" t="str">
        <x:v>Duke Quantum Center / Pratt School of Engineering</x:v>
      </x:c>
      <x:c r="J39" s="15" t="str">
        <x:v>Durham</x:v>
      </x:c>
      <x:c r="K39" s="15" t="str">
        <x:v>NC</x:v>
      </x:c>
      <x:c r="L39" s="15" t="str">
        <x:v>United States</x:v>
      </x:c>
      <x:c r="M39" s="15" t="n">
        <x:v>35.994</x:v>
      </x:c>
      <x:c r="N39" s="15" t="n">
        <x:v>-78.8986</x:v>
      </x:c>
      <x:c r="O39" s="15" t="str">
        <x:v>https://lohlab.pratt.duke.edu/research-overview</x:v>
      </x:c>
      <x:c r="P39" s="15"/>
      <x:c r="Q39" s="15"/>
      <x:c r="R39" s="15" t="str">
        <x:v>optical_tweezers; rydberg_array; neutral_atom_qc; quantum_simulation; metrology; atom_arrays</x:v>
      </x:c>
      <x:c r="S39" s="15" t="str">
        <x:v>Rb; unknown</x:v>
      </x:c>
      <x:c r="T39" s="15" t="str">
        <x:v>long_range_interactions; quantum_simulation; quantum_computation; metrology</x:v>
      </x:c>
      <x:c r="U39" s="15" t="str">
        <x:v>yes</x:v>
      </x:c>
      <x:c r="V39" s="15" t="str">
        <x:v>experimental</x:v>
      </x:c>
      <x:c r="W39" s="15" t="str">
        <x:v>mixed</x:v>
      </x:c>
      <x:c r="X39" s="15" t="str">
        <x:v>no</x:v>
      </x:c>
      <x:c r="Y39" s="15"/>
      <x:c r="Z39" s="15" t="str">
        <x:v>Current Duke lab page describes neutral atoms in optical tweezers and Rydberg-state-driven long-range interactions.</x:v>
      </x:c>
      <x:c r="AA39" s="15" t="n">
        <x:v>2026</x:v>
      </x:c>
      <x:c r="AB39" s="15" t="str">
        <x:v>2026-06-17</x:v>
      </x:c>
      <x:c r="AC39" s="15" t="str">
        <x:v>https://lohlab.pratt.duke.edu/research-overview</x:v>
      </x:c>
      <x:c r="AD39" s="15" t="str">
        <x:v>https://lohlab.pratt.duke.edu/</x:v>
      </x:c>
      <x:c r="AE39" s="15" t="str">
        <x:v>https://www.cqt.sg/highlight/2023-03-tweezers-atom-array/</x:v>
      </x:c>
      <x:c r="AF39" s="15" t="str">
        <x:v>REV-001; REV-003; REV-006</x:v>
      </x:c>
      <x:c r="AG39" s="15" t="str">
        <x:v>Q-001; Q-004</x:v>
      </x:c>
      <x:c r="AH39" s="15"/>
      <x:c r="AI39" s="15"/>
      <x:c r="AJ39" s="15"/>
      <x:c r="AK39" s="15" t="str">
        <x:v>Useful successor/current node related to earlier CQT Loh atom-array work. Keep B until recent Duke papers explicitly demonstrate Rydberg excitation/control on the new apparatus.</x:v>
      </x:c>
      <x:c r="AL39" s="15" t="str">
        <x:v>Add publication list once first Duke Rydberg-array papers appear; decide whether to merge/split from CQT E-026.</x:v>
      </x:c>
      <x:c r="AM39" s="15"/>
    </x:row>
    <x:row r="40">
      <x:c r="A40" s="15" t="str">
        <x:v>E-039</x:v>
      </x:c>
      <x:c r="B40" s="15" t="str">
        <x:v>USTC / Pan-Lu-Rui large neutral-atom array program</x:v>
      </x:c>
      <x:c r="C40" s="15" t="str">
        <x:v>academic</x:v>
      </x:c>
      <x:c r="D40" s="15" t="str">
        <x:v>verified</x:v>
      </x:c>
      <x:c r="E40" s="15" t="str">
        <x:v>B</x:v>
      </x:c>
      <x:c r="F40" s="15" t="n">
        <x:v>3</x:v>
      </x:c>
      <x:c r="G40" s="15" t="str">
        <x:v>Jian-Wei Pan; Chao-Yang Lu; Jun Rui; collaborators</x:v>
      </x:c>
      <x:c r="H40" s="15" t="str">
        <x:v>University of Science and Technology of China / Shanghai Research Center for Quantum Sciences</x:v>
      </x:c>
      <x:c r="I40" s="15" t="str">
        <x:v>Division of Quantum Physics and Quantum Information</x:v>
      </x:c>
      <x:c r="J40" s="15" t="str">
        <x:v>Hefei</x:v>
      </x:c>
      <x:c r="K40" s="15" t="str">
        <x:v>Anhui</x:v>
      </x:c>
      <x:c r="L40" s="15" t="str">
        <x:v>China</x:v>
      </x:c>
      <x:c r="M40" s="15" t="n">
        <x:v>31.8206</x:v>
      </x:c>
      <x:c r="N40" s="15" t="n">
        <x:v>117.2272</x:v>
      </x:c>
      <x:c r="O40" s="15" t="str">
        <x:v>https://quantum.ustc.edu.cn/web/en/publications-sel</x:v>
      </x:c>
      <x:c r="P40" s="15"/>
      <x:c r="Q40" s="15"/>
      <x:c r="R40" s="15" t="str">
        <x:v>optical_tweezers; neutral_atom_arrays; atom_sorting; qec_scaling; asian_ecosystem</x:v>
      </x:c>
      <x:c r="S40" s="15" t="str">
        <x:v>Rb</x:v>
      </x:c>
      <x:c r="T40" s="15" t="str">
        <x:v>architecture; loading; rearrangement; qec_candidate</x:v>
      </x:c>
      <x:c r="U40" s="15" t="str">
        <x:v>yes</x:v>
      </x:c>
      <x:c r="V40" s="15" t="str">
        <x:v>experimental</x:v>
      </x:c>
      <x:c r="W40" s="15" t="str">
        <x:v>mixed</x:v>
      </x:c>
      <x:c r="X40" s="15" t="str">
        <x:v>no</x:v>
      </x:c>
      <x:c r="Y40" s="15"/>
      <x:c r="Z40" s="15" t="str">
        <x:v>AI-enabled parallel assembly of thousands of defect-free neutral atom arrays; useful scaling/toolbox node but Rydberg role needs confirmation.</x:v>
      </x:c>
      <x:c r="AA40" s="15" t="n">
        <x:v>2025</x:v>
      </x:c>
      <x:c r="AB40" s="15" t="str">
        <x:v>2026-06-17</x:v>
      </x:c>
      <x:c r="AC40" s="15" t="str">
        <x:v>https://arxiv.org/abs/2412.14647</x:v>
      </x:c>
      <x:c r="AD40" s="15" t="str">
        <x:v>https://link.aps.org/doi/10.1103/2ym8-vs82</x:v>
      </x:c>
      <x:c r="AE40" s="15" t="str">
        <x:v>https://quantum.ustc.edu.cn/web/en/publications-sel</x:v>
      </x:c>
      <x:c r="AF40" s="15" t="str">
        <x:v>REV-005; REV-006</x:v>
      </x:c>
      <x:c r="AG40" s="15" t="str">
        <x:v>Q-004; Q-006</x:v>
      </x:c>
      <x:c r="AH40" s="15"/>
      <x:c r="AI40" s="15"/>
      <x:c r="AJ40" s="15"/>
      <x:c r="AK40" s="15" t="str">
        <x:v>Added from CAND-020. Strong optical-tweezer/large-array relevance; not yet classified A because the cited scaling paper does not itself prove Rydberg blockade/gates.</x:v>
      </x:c>
      <x:c r="AL40" s="15" t="str">
        <x:v>Search group papers for Rydberg excitation, blockade, gates or simulation; if confirmed, promote to A.</x:v>
      </x:c>
      <x:c r="AM40" s="15"/>
    </x:row>
    <x:row r="41">
      <x:c r="A41" s="15" t="str">
        <x:v>E-040</x:v>
      </x:c>
      <x:c r="B41" s="15" t="str">
        <x:v>Durham Rydberg-molecule tweezer platform</x:v>
      </x:c>
      <x:c r="C41" s="15" t="str">
        <x:v>academic</x:v>
      </x:c>
      <x:c r="D41" s="15" t="str">
        <x:v>needs_review</x:v>
      </x:c>
      <x:c r="E41" s="15" t="str">
        <x:v>C</x:v>
      </x:c>
      <x:c r="F41" s="15" t="n">
        <x:v>2</x:v>
      </x:c>
      <x:c r="G41" s="15" t="str">
        <x:v>Simon Cornish; Alexander Guttridge; collaborators</x:v>
      </x:c>
      <x:c r="H41" s="15" t="str">
        <x:v>Durham University</x:v>
      </x:c>
      <x:c r="I41" s="15" t="str">
        <x:v>Joint Quantum Centre / Durham cold molecules and Rydberg-related work</x:v>
      </x:c>
      <x:c r="J41" s="15" t="str">
        <x:v>Durham</x:v>
      </x:c>
      <x:c r="K41" s="15" t="str">
        <x:v>County Durham</x:v>
      </x:c>
      <x:c r="L41" s="15" t="str">
        <x:v>United Kingdom</x:v>
      </x:c>
      <x:c r="M41" s="15" t="n">
        <x:v>54.7753</x:v>
      </x:c>
      <x:c r="N41" s="15" t="n">
        <x:v>-1.5849</x:v>
      </x:c>
      <x:c r="O41" s="15" t="str">
        <x:v>https://arxiv.org/abs/2412.14888</x:v>
      </x:c>
      <x:c r="P41" s="15"/>
      <x:c r="Q41" s="15"/>
      <x:c r="R41" s="15" t="str">
        <x:v>optical_tweezers; rydberg_molecules; mixed_species; adjacent_platform</x:v>
      </x:c>
      <x:c r="S41" s="15" t="str">
        <x:v>RbCs; Rb; Cs</x:v>
      </x:c>
      <x:c r="T41" s="15" t="str">
        <x:v>rydberg_molecules; few_body; adjacent_quantum_simulation</x:v>
      </x:c>
      <x:c r="U41" s="15" t="str">
        <x:v>yes</x:v>
      </x:c>
      <x:c r="V41" s="15" t="str">
        <x:v>experimental</x:v>
      </x:c>
      <x:c r="W41" s="15" t="str">
        <x:v>mixed</x:v>
      </x:c>
      <x:c r="X41" s="15" t="str">
        <x:v>no</x:v>
      </x:c>
      <x:c r="Y41" s="15"/>
      <x:c r="Z41" s="15" t="str">
        <x:v>Individual assembly of two-species Rydberg molecules using optical tweezers.</x:v>
      </x:c>
      <x:c r="AA41" s="15" t="n">
        <x:v>2024</x:v>
      </x:c>
      <x:c r="AB41" s="15" t="str">
        <x:v>2026-06-17</x:v>
      </x:c>
      <x:c r="AC41" s="15" t="str">
        <x:v>https://arxiv.org/abs/2412.14888</x:v>
      </x:c>
      <x:c r="AD41" s="15" t="str">
        <x:v>https://durham-repository.worktribe.com/OutputFile/3967012</x:v>
      </x:c>
      <x:c r="AE41" s="15" t="str">
        <x:v>https://durham-qlm.uk/research/rydberg/photonics/</x:v>
      </x:c>
      <x:c r="AF41" s="15" t="str">
        <x:v>REV-001; REV-005</x:v>
      </x:c>
      <x:c r="AG41" s="15" t="str">
        <x:v>Q-004</x:v>
      </x:c>
      <x:c r="AH41" s="15"/>
      <x:c r="AI41" s="15"/>
      <x:c r="AJ41" s="15"/>
      <x:c r="AK41" s="15" t="str">
        <x:v>Adjacent rather than core: Rydberg molecules and mixed-species tweezer assembly are scientifically relevant, but not a standard neutral-atom Rydberg QC/simulation array.</x:v>
      </x:c>
      <x:c r="AL41" s="15" t="str">
        <x:v>Decide later whether the public map has an 'adjacent Rydberg tweezer platforms' layer.</x:v>
      </x:c>
      <x:c r="AM41" s="15"/>
    </x:row>
    <x:row r="42">
      <x:c r="A42" s="15" t="str">
        <x:v>E-041</x:v>
      </x:c>
      <x:c r="B42" s="15" t="str">
        <x:v>Hazzard theory group / Rydberg-tweezer array theory</x:v>
      </x:c>
      <x:c r="C42" s="15" t="str">
        <x:v>theory_group</x:v>
      </x:c>
      <x:c r="D42" s="15" t="str">
        <x:v>verified</x:v>
      </x:c>
      <x:c r="E42" s="15" t="str">
        <x:v>B</x:v>
      </x:c>
      <x:c r="F42" s="15" t="n">
        <x:v>4</x:v>
      </x:c>
      <x:c r="G42" s="15" t="str">
        <x:v>Kaden R. A. Hazzard</x:v>
      </x:c>
      <x:c r="H42" s="15" t="str">
        <x:v>Rice University</x:v>
      </x:c>
      <x:c r="I42" s="15" t="str">
        <x:v>Department of Physics and Astronomy</x:v>
      </x:c>
      <x:c r="J42" s="15" t="str">
        <x:v>Houston</x:v>
      </x:c>
      <x:c r="K42" s="15" t="str">
        <x:v>TX</x:v>
      </x:c>
      <x:c r="L42" s="15" t="str">
        <x:v>United States</x:v>
      </x:c>
      <x:c r="M42" s="15" t="n">
        <x:v>29.7604</x:v>
      </x:c>
      <x:c r="N42" s="15" t="n">
        <x:v>-95.3698</x:v>
      </x:c>
      <x:c r="O42" s="15" t="str">
        <x:v>https://kaden.rice.edu/publications.html</x:v>
      </x:c>
      <x:c r="P42" s="15"/>
      <x:c r="Q42" s="15"/>
      <x:c r="R42" s="15" t="str">
        <x:v>theory; rydberg_array; optical_tweezers; quantum_simulation; synthetic_dimensions; algorithms</x:v>
      </x:c>
      <x:c r="S42" s="15" t="str">
        <x:v>not_applicable</x:v>
      </x:c>
      <x:c r="T42" s="15" t="str">
        <x:v>theory; quantum_simulation; synthetic_dimensions; many_body</x:v>
      </x:c>
      <x:c r="U42" s="15" t="str">
        <x:v>not_applicable</x:v>
      </x:c>
      <x:c r="V42" s="15" t="str">
        <x:v>theory</x:v>
      </x:c>
      <x:c r="W42" s="15" t="str">
        <x:v>theory</x:v>
      </x:c>
      <x:c r="X42" s="15" t="str">
        <x:v>no</x:v>
      </x:c>
      <x:c r="Y42" s="15"/>
      <x:c r="Z42" s="15" t="str">
        <x:v>Publications include theory/collaboration work on strongly interacting Rydberg atoms prepared in optical tweezer arrays and synthetic dimensions.</x:v>
      </x:c>
      <x:c r="AA42" s="15" t="n">
        <x:v>2026</x:v>
      </x:c>
      <x:c r="AB42" s="15" t="str">
        <x:v>2026-06-17</x:v>
      </x:c>
      <x:c r="AC42" s="15" t="str">
        <x:v>https://kaden.rice.edu/publications.html</x:v>
      </x:c>
      <x:c r="AD42" s="15" t="str">
        <x:v>https://kaden.rice.edu/pr2026-1.pdf</x:v>
      </x:c>
      <x:c r="AE42" s="15" t="str">
        <x:v>https://kh30.web.rice.edu/pr2023-10.pdf</x:v>
      </x:c>
      <x:c r="AF42" s="15" t="str">
        <x:v>REV-003; REV-006</x:v>
      </x:c>
      <x:c r="AG42" s="15" t="str">
        <x:v>Q-007; Q-008</x:v>
      </x:c>
      <x:c r="AH42" s="15"/>
      <x:c r="AI42" s="15"/>
      <x:c r="AJ42" s="15"/>
      <x:c r="AK42" s="15" t="str">
        <x:v>Theory node for non-experimental map layer. Strongly relevant to Rydberg-array simulation, but no hardware apparatus.</x:v>
      </x:c>
      <x:c r="AL42" s="15" t="str">
        <x:v>Extract concrete papers and collaborators; link to Covey/Rice experimental photonics if appropriate.</x:v>
      </x:c>
      <x:c r="AM42" s="15"/>
    </x:row>
    <x:row r="43">
      <x:c r="A43" s="15" t="str">
        <x:v>E-042</x:v>
      </x:c>
      <x:c r="B43" s="15" t="str">
        <x:v>Schleier-Smith Rydberg-dressing ensemble arrays</x:v>
      </x:c>
      <x:c r="C43" s="15" t="str">
        <x:v>academic</x:v>
      </x:c>
      <x:c r="D43" s="15" t="str">
        <x:v>verified</x:v>
      </x:c>
      <x:c r="E43" s="15" t="str">
        <x:v>C</x:v>
      </x:c>
      <x:c r="F43" s="15" t="n">
        <x:v>3</x:v>
      </x:c>
      <x:c r="G43" s="15" t="str">
        <x:v>Monika Schleier-Smith</x:v>
      </x:c>
      <x:c r="H43" s="15" t="str">
        <x:v>Stanford University</x:v>
      </x:c>
      <x:c r="I43" s="15" t="str">
        <x:v>Department of Physics</x:v>
      </x:c>
      <x:c r="J43" s="15" t="str">
        <x:v>Stanford</x:v>
      </x:c>
      <x:c r="K43" s="15" t="str">
        <x:v>CA</x:v>
      </x:c>
      <x:c r="L43" s="15" t="str">
        <x:v>United States</x:v>
      </x:c>
      <x:c r="M43" s="15" t="n">
        <x:v>37.4275</x:v>
      </x:c>
      <x:c r="N43" s="15" t="n">
        <x:v>-122.1697</x:v>
      </x:c>
      <x:c r="O43" s="15" t="str">
        <x:v>https://sites.google.com/stanford.edu/sslab/research/publications</x:v>
      </x:c>
      <x:c r="P43" s="15"/>
      <x:c r="Q43" s="15"/>
      <x:c r="R43" s="15" t="str">
        <x:v>rydberg_dressing; atomic_ensembles; metrology; adjacent_arrays</x:v>
      </x:c>
      <x:c r="S43" s="15" t="str">
        <x:v>Cs</x:v>
      </x:c>
      <x:c r="T43" s="15" t="str">
        <x:v>spin_squeezing; metrology; rydberg_dressing; many_body</x:v>
      </x:c>
      <x:c r="U43" s="15" t="str">
        <x:v>unclear</x:v>
      </x:c>
      <x:c r="V43" s="15" t="str">
        <x:v>experimental</x:v>
      </x:c>
      <x:c r="W43" s="15" t="str">
        <x:v>mixed</x:v>
      </x:c>
      <x:c r="X43" s="15" t="str">
        <x:v>no</x:v>
      </x:c>
      <x:c r="Y43" s="15"/>
      <x:c r="Z43" s="15" t="str">
        <x:v>Spin squeezing by Rydberg dressing in an array of atomic ensembles.</x:v>
      </x:c>
      <x:c r="AA43" s="15" t="n">
        <x:v>2023</x:v>
      </x:c>
      <x:c r="AB43" s="15" t="str">
        <x:v>2026-06-17</x:v>
      </x:c>
      <x:c r="AC43" s="15" t="str">
        <x:v>https://arxiv.org/abs/2303.08805</x:v>
      </x:c>
      <x:c r="AD43" s="15" t="str">
        <x:v>https://link.aps.org/doi/10.1103/PhysRevLett.131.063401</x:v>
      </x:c>
      <x:c r="AE43" s="15" t="str">
        <x:v>https://sites.google.com/stanford.edu/sslab/research/publications</x:v>
      </x:c>
      <x:c r="AF43" s="15" t="str">
        <x:v>REV-001; REV-003</x:v>
      </x:c>
      <x:c r="AG43" s="15" t="str">
        <x:v>Q-004; Q-007</x:v>
      </x:c>
      <x:c r="AH43" s="15"/>
      <x:c r="AI43" s="15"/>
      <x:c r="AJ43" s="15"/>
      <x:c r="AK43" s="15" t="str">
        <x:v>Important Rydberg-dressing work, but not clearly an individual-atom optical-tweezer Rydberg processor. Keep as C/adjacent unless a direct tweezer-array apparatus is confirmed.</x:v>
      </x:c>
      <x:c r="AL43" s="15" t="str">
        <x:v>Check trap geometry and whether to include ensemble-array/metrology nodes in the public database.</x:v>
      </x:c>
      <x:c r="AM43" s="15"/>
    </x:row>
    <x:row r="44">
      <x:c r="A44" s="15" t="str">
        <x:v>E-043</x:v>
      </x:c>
      <x:c r="B44" s="15" t="str">
        <x:v>Sandia Neutral Atoms/Rydberg Computing program</x:v>
      </x:c>
      <x:c r="C44" s="15" t="str">
        <x:v>national_lab</x:v>
      </x:c>
      <x:c r="D44" s="15" t="str">
        <x:v>needs_review</x:v>
      </x:c>
      <x:c r="E44" s="15" t="str">
        <x:v>B</x:v>
      </x:c>
      <x:c r="F44" s="15" t="n">
        <x:v>3</x:v>
      </x:c>
      <x:c r="G44" s="15" t="str">
        <x:v>Sandia neutral-atoms/Rydberg team</x:v>
      </x:c>
      <x:c r="H44" s="15" t="str">
        <x:v>Sandia National Laboratories</x:v>
      </x:c>
      <x:c r="I44" s="15" t="str">
        <x:v>Quantum Computing / Neutral Atoms-Rydberg Computing</x:v>
      </x:c>
      <x:c r="J44" s="15" t="str">
        <x:v>Albuquerque</x:v>
      </x:c>
      <x:c r="K44" s="15" t="str">
        <x:v>NM</x:v>
      </x:c>
      <x:c r="L44" s="15" t="str">
        <x:v>United States</x:v>
      </x:c>
      <x:c r="M44" s="15" t="n">
        <x:v>35.0844</x:v>
      </x:c>
      <x:c r="N44" s="15" t="n">
        <x:v>-106.6504</x:v>
      </x:c>
      <x:c r="O44" s="15" t="str">
        <x:v>https://www.sandia.gov/quantum/neutral-atoms-rydberg-computing/</x:v>
      </x:c>
      <x:c r="P44" s="15"/>
      <x:c r="Q44" s="15"/>
      <x:c r="R44" s="15" t="str">
        <x:v>neutral_atom_qc; rydberg_computing; national_lab; gates; theory; engineering</x:v>
      </x:c>
      <x:c r="S44" s="15" t="str">
        <x:v>unknown</x:v>
      </x:c>
      <x:c r="T44" s="15" t="str">
        <x:v>gates; architecture; theory; hardware_methods</x:v>
      </x:c>
      <x:c r="U44" s="15" t="str">
        <x:v>unclear</x:v>
      </x:c>
      <x:c r="V44" s="15" t="str">
        <x:v>mixed</x:v>
      </x:c>
      <x:c r="W44" s="15" t="str">
        <x:v>mixed</x:v>
      </x:c>
      <x:c r="X44" s="15" t="str">
        <x:v>no</x:v>
      </x:c>
      <x:c r="Y44" s="15"/>
      <x:c r="Z44" s="15" t="str">
        <x:v>Official Sandia program page for Neutral Atoms/Rydberg Computing; details on trap type and current apparatus need extraction.</x:v>
      </x:c>
      <x:c r="AA44" s="15" t="n">
        <x:v>2026</x:v>
      </x:c>
      <x:c r="AB44" s="15" t="str">
        <x:v>2026-06-17</x:v>
      </x:c>
      <x:c r="AC44" s="15" t="str">
        <x:v>https://www.sandia.gov/quantum/neutral-atoms-rydberg-computing/</x:v>
      </x:c>
      <x:c r="AD44" s="15" t="str">
        <x:v>https://www.sandia.gov/quantum/quantum-computing/</x:v>
      </x:c>
      <x:c r="AE44" s="15" t="str">
        <x:v>https://www.sandia.gov/app/uploads/sites/174/2024/05/2023SQuInT_Poster_B.pdf</x:v>
      </x:c>
      <x:c r="AF44" s="15" t="str">
        <x:v>REV-006</x:v>
      </x:c>
      <x:c r="AG44" s="15" t="str">
        <x:v>Q-002; Q-006</x:v>
      </x:c>
      <x:c r="AH44" s="15"/>
      <x:c r="AI44" s="15"/>
      <x:c r="AJ44" s="15"/>
      <x:c r="AK44" s="15" t="str">
        <x:v>Strategically relevant US national-lab node. Classified B because public page confirms neutral atoms/Rydberg computing, but not enough detail yet for a core optical-tweezer row.</x:v>
      </x:c>
      <x:c r="AL44" s="15" t="str">
        <x:v>Find PI names, species, trap geometry, and recent papers/posters; split hardware vs theory teams if needed.</x:v>
      </x:c>
      <x:c r="AM44" s="15"/>
    </x:row>
    <x:row r="45" ht="60" customHeight="1">
      <x:c r="A45" s="15" t="str">
        <x:v>E-044</x:v>
      </x:c>
      <x:c r="B45" s="15" t="str">
        <x:v>Deutsch CQuIC neutral-atom/Rydberg control theory</x:v>
      </x:c>
      <x:c r="C45" s="15" t="str">
        <x:v>theory_group</x:v>
      </x:c>
      <x:c r="D45" s="15" t="str">
        <x:v>verified</x:v>
      </x:c>
      <x:c r="E45" s="15" t="str">
        <x:v>B</x:v>
      </x:c>
      <x:c r="F45" s="15" t="n">
        <x:v>4</x:v>
      </x:c>
      <x:c r="G45" s="15" t="str">
        <x:v>Ivan H. Deutsch</x:v>
      </x:c>
      <x:c r="H45" s="15" t="str">
        <x:v>University of New Mexico</x:v>
      </x:c>
      <x:c r="I45" s="15" t="str">
        <x:v>Center for Quantum Information and Control / Department of Physics and Astronomy</x:v>
      </x:c>
      <x:c r="J45" s="15" t="str">
        <x:v>Albuquerque</x:v>
      </x:c>
      <x:c r="K45" s="15" t="str">
        <x:v>NM</x:v>
      </x:c>
      <x:c r="L45" s="15" t="str">
        <x:v>United States</x:v>
      </x:c>
      <x:c r="M45" s="15" t="n">
        <x:v>35.0844</x:v>
      </x:c>
      <x:c r="N45" s="15" t="n">
        <x:v>-106.6504</x:v>
      </x:c>
      <x:c r="O45" s="15" t="str">
        <x:v>https://cquic.unm.edu/people/ivan-deutsch/index.html</x:v>
      </x:c>
      <x:c r="P45" s="15"/>
      <x:c r="Q45" s="15"/>
      <x:c r="R45" s="15" t="str">
        <x:v>rydberg_array; quantum_control; neutral_atom_qc; qec; qudits; theory</x:v>
      </x:c>
      <x:c r="S45" s="15" t="str">
        <x:v>generic; Rb; Cs</x:v>
      </x:c>
      <x:c r="T45" s="15" t="str">
        <x:v>quantum_control; Dicke_manifold; architecture; qec; neutral_atom_theory</x:v>
      </x:c>
      <x:c r="U45" s="15" t="str">
        <x:v>yes</x:v>
      </x:c>
      <x:c r="V45" s="15" t="str">
        <x:v>no</x:v>
      </x:c>
      <x:c r="W45" s="15" t="str">
        <x:v>yes</x:v>
      </x:c>
      <x:c r="X45" s="15" t="str">
        <x:v>no</x:v>
      </x:c>
      <x:c r="Y45" s="15"/>
      <x:c r="Z45" s="15" t="str">
        <x:v>Quantum optimal control of the Dicke manifold in dipolar Rydberg atom arrays; neutral-atom qudit/QC theory</x:v>
      </x:c>
      <x:c r="AA45" s="15" t="n">
        <x:v>2026</x:v>
      </x:c>
      <x:c r="AB45" s="15" t="str">
        <x:v>2026-06-17</x:v>
      </x:c>
      <x:c r="AC45" s="15" t="str">
        <x:v>https://cquic.unm.edu/people/ivan-deutsch/index.html</x:v>
      </x:c>
      <x:c r="AD45" s="15" t="str">
        <x:v>https://arxiv.org/abs/2606.02283</x:v>
      </x:c>
      <x:c r="AE45" s="15" t="str">
        <x:v>https://chicagoquantum.org/event/pme-distinguished-quantum-colloquium-series-ivan-deutsch-university-new-mexico</x:v>
      </x:c>
      <x:c r="AF45" s="15"/>
      <x:c r="AG45" s="15" t="str">
        <x:v>Q-020; Q-021</x:v>
      </x:c>
      <x:c r="AH45" s="15"/>
      <x:c r="AI45" s="15"/>
      <x:c r="AJ45" s="15"/>
      <x:c r="AK45" s="15" t="str">
        <x:v>Promoted in v0.9 from arXiv PI map. Strong theory/control node; not an experimental tweezer lab.</x:v>
      </x:c>
      <x:c r="AL45" s="15" t="str">
        <x:v>Add exact coauthor/affiliation extraction for arXiv:2606.02283 and link Strathclyde collaboration if needed.</x:v>
      </x:c>
      <x:c r="AM45" s="15"/>
    </x:row>
    <x:row r="46" ht="60" customHeight="1">
      <x:c r="A46" s="15" t="str">
        <x:v>E-045</x:v>
      </x:c>
      <x:c r="B46" s="15" t="str">
        <x:v>Misguich / IPhT Rydberg-array control and random-state theory</x:v>
      </x:c>
      <x:c r="C46" s="15" t="str">
        <x:v>theory_group</x:v>
      </x:c>
      <x:c r="D46" s="15" t="str">
        <x:v>verified</x:v>
      </x:c>
      <x:c r="E46" s="15" t="str">
        <x:v>B</x:v>
      </x:c>
      <x:c r="F46" s="15" t="n">
        <x:v>4</x:v>
      </x:c>
      <x:c r="G46" s="15" t="str">
        <x:v>Grégoire Misguich</x:v>
      </x:c>
      <x:c r="H46" s="15" t="str">
        <x:v>CEA / Institut de Physique Théorique (IPhT), Université Paris-Saclay</x:v>
      </x:c>
      <x:c r="I46" s="15" t="str">
        <x:v>Institut de Physique Théorique</x:v>
      </x:c>
      <x:c r="J46" s="15" t="str">
        <x:v>Saclay / Gif-sur-Yvette</x:v>
      </x:c>
      <x:c r="K46" s="15" t="str">
        <x:v>Île-de-France</x:v>
      </x:c>
      <x:c r="L46" s="15" t="str">
        <x:v>France</x:v>
      </x:c>
      <x:c r="M46" s="15" t="n">
        <x:v>48.729</x:v>
      </x:c>
      <x:c r="N46" s="15" t="n">
        <x:v>2.148</x:v>
      </x:c>
      <x:c r="O46" s="15" t="str">
        <x:v>https://www.ipht.fr/en/pisp/gregoire-misguich-2/</x:v>
      </x:c>
      <x:c r="P46" s="15"/>
      <x:c r="Q46" s="15"/>
      <x:c r="R46" s="15" t="str">
        <x:v>rydberg_array; theory; control; random_state_generation; spin_squeezing</x:v>
      </x:c>
      <x:c r="S46" s="15" t="str">
        <x:v>generic</x:v>
      </x:c>
      <x:c r="T46" s="15" t="str">
        <x:v>state_preparation; control; random_states; spin_squeezing; quantum_simulation_theory</x:v>
      </x:c>
      <x:c r="U46" s="15" t="str">
        <x:v>yes</x:v>
      </x:c>
      <x:c r="V46" s="15" t="str">
        <x:v>no</x:v>
      </x:c>
      <x:c r="W46" s="15" t="str">
        <x:v>yes</x:v>
      </x:c>
      <x:c r="X46" s="15" t="str">
        <x:v>no</x:v>
      </x:c>
      <x:c r="Y46" s="15"/>
      <x:c r="Z46" s="15" t="str">
        <x:v>Preparing spin-squeezed states in Rydberg arrays; Random-State Generation and Preparation Complexity in Rydberg Arrays</x:v>
      </x:c>
      <x:c r="AA46" s="15" t="n">
        <x:v>2026</x:v>
      </x:c>
      <x:c r="AB46" s="15" t="str">
        <x:v>2026-06-17</x:v>
      </x:c>
      <x:c r="AC46" s="15" t="str">
        <x:v>https://www.ipht.fr/en/pisp/gregoire-misguich-2/</x:v>
      </x:c>
      <x:c r="AD46" s="15" t="str">
        <x:v>https://arxiv.org/abs/2507.07875</x:v>
      </x:c>
      <x:c r="AE46" s="15" t="str">
        <x:v>https://arxiv.org/abs/2604.18457</x:v>
      </x:c>
      <x:c r="AF46" s="15"/>
      <x:c r="AG46" s="15" t="str">
        <x:v>Q-020; Q-021</x:v>
      </x:c>
      <x:c r="AH46" s="15"/>
      <x:c r="AI46" s="15"/>
      <x:c r="AJ46" s="15"/>
      <x:c r="AK46" s="15" t="str">
        <x:v>Promoted in v0.9 as a local France/Saclay theory/control node with direct Rydberg-array papers.</x:v>
      </x:c>
      <x:c r="AL46" s="15" t="str">
        <x:v>Resolve exact institutional display name for map: CEA-IPhT vs Université Paris-Saclay triple affiliation.</x:v>
      </x:c>
      <x:c r="AM46" s="15"/>
    </x:row>
    <x:row r="47" ht="60" customHeight="1">
      <x:c r="A47" s="15" t="str">
        <x:v>E-046</x:v>
      </x:c>
      <x:c r="B47" s="15" t="str">
        <x:v>Serbyn Quantum Dynamics &amp; Condensed Matter group</x:v>
      </x:c>
      <x:c r="C47" s="15" t="str">
        <x:v>theory_group</x:v>
      </x:c>
      <x:c r="D47" s="15" t="str">
        <x:v>verified</x:v>
      </x:c>
      <x:c r="E47" s="15" t="str">
        <x:v>B</x:v>
      </x:c>
      <x:c r="F47" s="15" t="n">
        <x:v>3</x:v>
      </x:c>
      <x:c r="G47" s="15" t="str">
        <x:v>Maksym Serbyn</x:v>
      </x:c>
      <x:c r="H47" s="15" t="str">
        <x:v>Institute of Science and Technology Austria (ISTA)</x:v>
      </x:c>
      <x:c r="I47" s="15" t="str">
        <x:v>Quantum Dynamics &amp; Condensed Matter</x:v>
      </x:c>
      <x:c r="J47" s="15" t="str">
        <x:v>Klosterneuburg</x:v>
      </x:c>
      <x:c r="K47" s="15" t="str">
        <x:v>Lower Austria</x:v>
      </x:c>
      <x:c r="L47" s="15" t="str">
        <x:v>Austria</x:v>
      </x:c>
      <x:c r="M47" s="15" t="n">
        <x:v>48.3097</x:v>
      </x:c>
      <x:c r="N47" s="15" t="n">
        <x:v>16.2595</x:v>
      </x:c>
      <x:c r="O47" s="15" t="str">
        <x:v>https://serbyn.github.io/site/</x:v>
      </x:c>
      <x:c r="P47" s="15"/>
      <x:c r="Q47" s="15"/>
      <x:c r="R47" s="15" t="str">
        <x:v>rydberg_array; many_body_scars; thermalization; solitons; theory</x:v>
      </x:c>
      <x:c r="S47" s="15" t="str">
        <x:v>generic</x:v>
      </x:c>
      <x:c r="T47" s="15" t="str">
        <x:v>many_body_scars; non_equilibrium; rydberg_chain_theory; quantum_simulation_theory</x:v>
      </x:c>
      <x:c r="U47" s="15" t="str">
        <x:v>unclear</x:v>
      </x:c>
      <x:c r="V47" s="15" t="str">
        <x:v>no</x:v>
      </x:c>
      <x:c r="W47" s="15" t="str">
        <x:v>yes</x:v>
      </x:c>
      <x:c r="X47" s="15" t="str">
        <x:v>no</x:v>
      </x:c>
      <x:c r="Y47" s="15"/>
      <x:c r="Z47" s="15" t="str">
        <x:v>Discrete solitons in Rydberg atom chains; systematic construction of many-body scars</x:v>
      </x:c>
      <x:c r="AA47" s="15" t="n">
        <x:v>2026</x:v>
      </x:c>
      <x:c r="AB47" s="15" t="str">
        <x:v>2026-06-17</x:v>
      </x:c>
      <x:c r="AC47" s="15" t="str">
        <x:v>https://serbyn.github.io/site/</x:v>
      </x:c>
      <x:c r="AD47" s="15" t="str">
        <x:v>https://arxiv.org/abs/2507.13196</x:v>
      </x:c>
      <x:c r="AE47" s="15" t="str">
        <x:v>https://research-explorer.ista.ac.at/record/21960</x:v>
      </x:c>
      <x:c r="AF47" s="15"/>
      <x:c r="AG47" s="15" t="str">
        <x:v>Q-020; Q-021</x:v>
      </x:c>
      <x:c r="AH47" s="15"/>
      <x:c r="AI47" s="15"/>
      <x:c r="AJ47" s="15"/>
      <x:c r="AK47" s="15" t="str">
        <x:v>Promoted in v0.9 as a theory node. Relevance is Rydberg-array many-body theory; optical-tweezer implementation is indirect.</x:v>
      </x:c>
      <x:c r="AL47" s="15" t="str">
        <x:v>Keep as B/C boundary; add only papers explicitly connected to Rydberg atom arrays.</x:v>
      </x:c>
      <x:c r="AM47" s="15"/>
    </x:row>
    <x:row r="48" ht="60" customHeight="1">
      <x:c r="A48" s="15" t="str">
        <x:v>E-047</x:v>
      </x:c>
      <x:c r="B48" s="15" t="str">
        <x:v>Carrasquilla quantum many-body ML for Rydberg arrays</x:v>
      </x:c>
      <x:c r="C48" s="15" t="str">
        <x:v>theory_group</x:v>
      </x:c>
      <x:c r="D48" s="15" t="str">
        <x:v>verified</x:v>
      </x:c>
      <x:c r="E48" s="15" t="str">
        <x:v>B</x:v>
      </x:c>
      <x:c r="F48" s="15" t="n">
        <x:v>3</x:v>
      </x:c>
      <x:c r="G48" s="15" t="str">
        <x:v>Juan Carrasquilla</x:v>
      </x:c>
      <x:c r="H48" s="15" t="str">
        <x:v>ETH Zurich</x:v>
      </x:c>
      <x:c r="I48" s="15" t="str">
        <x:v>Institute for Theoretical Physics</x:v>
      </x:c>
      <x:c r="J48" s="15" t="str">
        <x:v>Zurich</x:v>
      </x:c>
      <x:c r="K48" s="15" t="str">
        <x:v>Zurich</x:v>
      </x:c>
      <x:c r="L48" s="15" t="str">
        <x:v>Switzerland</x:v>
      </x:c>
      <x:c r="M48" s="15" t="n">
        <x:v>47.3769</x:v>
      </x:c>
      <x:c r="N48" s="15" t="n">
        <x:v>8.5417</x:v>
      </x:c>
      <x:c r="O48" s="15" t="str">
        <x:v>https://www.phys.ethz.ch/news-and-events/d-phys-news/2023/12/new-year-new-professors.html</x:v>
      </x:c>
      <x:c r="P48" s="15"/>
      <x:c r="Q48" s="15"/>
      <x:c r="R48" s="15" t="str">
        <x:v>rydberg_array; theory; machine_learning; variational_wavefunctions</x:v>
      </x:c>
      <x:c r="S48" s="15" t="str">
        <x:v>generic</x:v>
      </x:c>
      <x:c r="T48" s="15" t="str">
        <x:v>many_body_theory; machine_learning; quantum_simulation_benchmarking</x:v>
      </x:c>
      <x:c r="U48" s="15" t="str">
        <x:v>unclear</x:v>
      </x:c>
      <x:c r="V48" s="15" t="str">
        <x:v>no</x:v>
      </x:c>
      <x:c r="W48" s="15" t="str">
        <x:v>yes</x:v>
      </x:c>
      <x:c r="X48" s="15" t="str">
        <x:v>no</x:v>
      </x:c>
      <x:c r="Y48" s="15"/>
      <x:c r="Z48" s="15" t="str">
        <x:v>Recurrent neural network wave functions for Rydberg atom arrays on kagome lattice</x:v>
      </x:c>
      <x:c r="AA48" s="15" t="n">
        <x:v>2025</x:v>
      </x:c>
      <x:c r="AB48" s="15" t="str">
        <x:v>2026-06-17</x:v>
      </x:c>
      <x:c r="AC48" s="15" t="str">
        <x:v>https://arxiv.org/abs/2405.20384</x:v>
      </x:c>
      <x:c r="AD48" s="15" t="str">
        <x:v>https://www.nature.com/articles/s42005-025-02226-7</x:v>
      </x:c>
      <x:c r="AE48" s="15" t="str">
        <x:v>https://www.phys.ethz.ch/news-and-events/d-phys-news/2023/12/new-year-new-professors.html</x:v>
      </x:c>
      <x:c r="AF48" s="15"/>
      <x:c r="AG48" s="15" t="str">
        <x:v>Q-020; Q-021</x:v>
      </x:c>
      <x:c r="AH48" s="15"/>
      <x:c r="AI48" s="15"/>
      <x:c r="AJ48" s="15"/>
      <x:c r="AK48" s="15" t="str">
        <x:v>Promoted in v0.9 as ML/theory node for Rydberg-array wavefunctions; not a hardware group.</x:v>
      </x:c>
      <x:c r="AL48" s="15" t="str">
        <x:v>Verify current group webpage and exact ETH unit.</x:v>
      </x:c>
      <x:c r="AM48" s="15"/>
    </x:row>
    <x:row r="49" ht="60" customHeight="1">
      <x:c r="A49" s="15" t="str">
        <x:v>E-048</x:v>
      </x:c>
      <x:c r="B49" s="15" t="str">
        <x:v>Jin-Guo Liu / Quantum Bay Rydberg-array algorithms and QEC</x:v>
      </x:c>
      <x:c r="C49" s="15" t="str">
        <x:v>theory_group</x:v>
      </x:c>
      <x:c r="D49" s="15" t="str">
        <x:v>verified</x:v>
      </x:c>
      <x:c r="E49" s="15" t="str">
        <x:v>B</x:v>
      </x:c>
      <x:c r="F49" s="15" t="n">
        <x:v>4</x:v>
      </x:c>
      <x:c r="G49" s="15" t="str">
        <x:v>Jin-Guo Liu</x:v>
      </x:c>
      <x:c r="H49" s="15" t="str">
        <x:v>Hong Kong University of Science and Technology (Guangzhou)</x:v>
      </x:c>
      <x:c r="I49" s="15" t="str">
        <x:v>Quantum Bay / Advanced Materials Thrust</x:v>
      </x:c>
      <x:c r="J49" s="15" t="str">
        <x:v>Guangzhou</x:v>
      </x:c>
      <x:c r="K49" s="15" t="str">
        <x:v>Guangdong</x:v>
      </x:c>
      <x:c r="L49" s="15" t="str">
        <x:v>China</x:v>
      </x:c>
      <x:c r="M49" s="15" t="n">
        <x:v>23.1291</x:v>
      </x:c>
      <x:c r="N49" s="15" t="n">
        <x:v>113.2644</x:v>
      </x:c>
      <x:c r="O49" s="15" t="str">
        <x:v>https://www.jinguo-group.science/</x:v>
      </x:c>
      <x:c r="P49" s="15"/>
      <x:c r="Q49" s="15"/>
      <x:c r="R49" s="15" t="str">
        <x:v>rydberg_array; algorithms; qec; tensor_networks; optimization; software</x:v>
      </x:c>
      <x:c r="S49" s="15" t="str">
        <x:v>generic</x:v>
      </x:c>
      <x:c r="T49" s="15" t="str">
        <x:v>qec; globally_controlled_arrays; optimization; tensor_networks; software</x:v>
      </x:c>
      <x:c r="U49" s="15" t="str">
        <x:v>yes</x:v>
      </x:c>
      <x:c r="V49" s="15" t="str">
        <x:v>no</x:v>
      </x:c>
      <x:c r="W49" s="15" t="str">
        <x:v>yes</x:v>
      </x:c>
      <x:c r="X49" s="15" t="str">
        <x:v>no</x:v>
      </x:c>
      <x:c r="Y49" s="15"/>
      <x:c r="Z49" s="15" t="str">
        <x:v>Measurement-Free Toric-Code Memory in Array Globally Controlled Rydberg Array; Rydberg optimization and tensor-network methods</x:v>
      </x:c>
      <x:c r="AA49" s="15" t="n">
        <x:v>2026</x:v>
      </x:c>
      <x:c r="AB49" s="15" t="str">
        <x:v>2026-06-17</x:v>
      </x:c>
      <x:c r="AC49" s="15" t="str">
        <x:v>https://www.jinguo-group.science/</x:v>
      </x:c>
      <x:c r="AD49" s="15" t="str">
        <x:v>https://arxiv.org/abs/2606.12030</x:v>
      </x:c>
      <x:c r="AE49" s="15" t="str">
        <x:v>https://facultyprofiles.hkust-gz.edu.cn/faculty-personal-page/LIU-Jinguo/jinguoliu</x:v>
      </x:c>
      <x:c r="AF49" s="15"/>
      <x:c r="AG49" s="15" t="str">
        <x:v>Q-019; Q-021</x:v>
      </x:c>
      <x:c r="AH49" s="15"/>
      <x:c r="AI49" s="15"/>
      <x:c r="AJ49" s="15"/>
      <x:c r="AK49" s="15" t="str">
        <x:v>Promoted in v0.9. Affiliation resolved from group/faculty pages; paper is theory/QEC for neutral-atom Rydberg arrays.</x:v>
      </x:c>
      <x:c r="AL49" s="15" t="str">
        <x:v>Check exact romanization Jin-Guo/Jinguo and map to one canonical author name.</x:v>
      </x:c>
      <x:c r="AM49" s="15"/>
    </x:row>
    <x:row r="50" ht="60" customHeight="1">
      <x:c r="A50" s="15" t="str">
        <x:v>E-049</x:v>
      </x:c>
      <x:c r="B50" s="15" t="str">
        <x:v>Pengfei Zhang / Fudan spin-phonon Rydberg-array theory</x:v>
      </x:c>
      <x:c r="C50" s="15" t="str">
        <x:v>theory_group</x:v>
      </x:c>
      <x:c r="D50" s="15" t="str">
        <x:v>verified</x:v>
      </x:c>
      <x:c r="E50" s="15" t="str">
        <x:v>B</x:v>
      </x:c>
      <x:c r="F50" s="15" t="n">
        <x:v>4</x:v>
      </x:c>
      <x:c r="G50" s="15" t="str">
        <x:v>Pengfei Zhang</x:v>
      </x:c>
      <x:c r="H50" s="15" t="str">
        <x:v>Fudan University</x:v>
      </x:c>
      <x:c r="I50" s="15" t="str">
        <x:v>Department of Physics / State Key Laboratory of Surface Physics</x:v>
      </x:c>
      <x:c r="J50" s="15" t="str">
        <x:v>Shanghai</x:v>
      </x:c>
      <x:c r="K50" s="15" t="str">
        <x:v>Shanghai</x:v>
      </x:c>
      <x:c r="L50" s="15" t="str">
        <x:v>China</x:v>
      </x:c>
      <x:c r="M50" s="15" t="n">
        <x:v>31.2304</x:v>
      </x:c>
      <x:c r="N50" s="15" t="n">
        <x:v>121.4737</x:v>
      </x:c>
      <x:c r="O50" s="15" t="str">
        <x:v>https://scholar.google.com/citations?user=xvhhFXgAAAAJ</x:v>
      </x:c>
      <x:c r="P50" s="15"/>
      <x:c r="Q50" s="15"/>
      <x:c r="R50" s="15" t="str">
        <x:v>rydberg_array; spin_phonon_coupling; many_body_theory; quantum_simulation</x:v>
      </x:c>
      <x:c r="S50" s="15" t="str">
        <x:v>generic</x:v>
      </x:c>
      <x:c r="T50" s="15" t="str">
        <x:v>spin_phonon; many_body_physics; quantum_simulation_theory; thermalization</x:v>
      </x:c>
      <x:c r="U50" s="15" t="str">
        <x:v>yes</x:v>
      </x:c>
      <x:c r="V50" s="15" t="str">
        <x:v>no</x:v>
      </x:c>
      <x:c r="W50" s="15" t="str">
        <x:v>yes</x:v>
      </x:c>
      <x:c r="X50" s="15" t="str">
        <x:v>no</x:v>
      </x:c>
      <x:c r="Y50" s="15"/>
      <x:c r="Z50" s="15" t="str">
        <x:v>Many-Body Physics from Spin-Phonon Coupling in Rydberg Atom Arrays</x:v>
      </x:c>
      <x:c r="AA50" s="15" t="n">
        <x:v>2025</x:v>
      </x:c>
      <x:c r="AB50" s="15" t="str">
        <x:v>2026-06-17</x:v>
      </x:c>
      <x:c r="AC50" s="15" t="str">
        <x:v>https://arxiv.org/abs/2507.16751</x:v>
      </x:c>
      <x:c r="AD50" s="15" t="str">
        <x:v>https://link.aps.org/doi/10.1103/dnyf-yt21</x:v>
      </x:c>
      <x:c r="AE50" s="15" t="str">
        <x:v>https://arxiv.org/html/2605.07668v1</x:v>
      </x:c>
      <x:c r="AF50" s="15"/>
      <x:c r="AG50" s="15" t="str">
        <x:v>Q-020; Q-021</x:v>
      </x:c>
      <x:c r="AH50" s="15"/>
      <x:c r="AI50" s="15"/>
      <x:c r="AJ50" s="15"/>
      <x:c r="AK50" s="15" t="str">
        <x:v>Promoted in v0.9. Direct theory paper explicitly invokes optical-tweezer vibrations/spin-phonon coupling in Rydberg arrays.</x:v>
      </x:c>
      <x:c r="AL50" s="15" t="str">
        <x:v>Replace Google Scholar source with official personal page if found.</x:v>
      </x:c>
      <x:c r="AM50" s="15"/>
    </x:row>
    <x:row r="51" ht="60" customHeight="1">
      <x:c r="A51" s="15" t="str">
        <x:v>E-050</x:v>
      </x:c>
      <x:c r="B51" s="15" t="str">
        <x:v>Pai Peng / Peking Yb optical-tweezer array program</x:v>
      </x:c>
      <x:c r="C51" s="15" t="str">
        <x:v>academic</x:v>
      </x:c>
      <x:c r="D51" s="15" t="str">
        <x:v>verified</x:v>
      </x:c>
      <x:c r="E51" s="15" t="str">
        <x:v>B</x:v>
      </x:c>
      <x:c r="F51" s="15" t="n">
        <x:v>4</x:v>
      </x:c>
      <x:c r="G51" s="15" t="str">
        <x:v>Pai Peng; Sheng Zhang; Qihuang Gong</x:v>
      </x:c>
      <x:c r="H51" s="15" t="str">
        <x:v>Peking University</x:v>
      </x:c>
      <x:c r="I51" s="15" t="str">
        <x:v>School of Physics / State Key Laboratory for Artificial Microstructure and Mesoscopic Physics</x:v>
      </x:c>
      <x:c r="J51" s="15" t="str">
        <x:v>Beijing</x:v>
      </x:c>
      <x:c r="K51" s="15" t="str">
        <x:v>Beijing</x:v>
      </x:c>
      <x:c r="L51" s="15" t="str">
        <x:v>China</x:v>
      </x:c>
      <x:c r="M51" s="15" t="n">
        <x:v>39.9042</x:v>
      </x:c>
      <x:c r="N51" s="15" t="n">
        <x:v>116.4074</x:v>
      </x:c>
      <x:c r="O51" s="15" t="str">
        <x:v>https://scholar.google.com/citations?user=pZNLmTIAAAAJ</x:v>
      </x:c>
      <x:c r="P51" s="15"/>
      <x:c r="Q51" s="15"/>
      <x:c r="R51" s="15" t="str">
        <x:v>optical_tweezers; alkaline_earth; Yb; neutral_atom_qc; rydberg_gate_estimates</x:v>
      </x:c>
      <x:c r="S51" s="15" t="str">
        <x:v>Yb</x:v>
      </x:c>
      <x:c r="T51" s="15" t="str">
        <x:v>platform_scaling; loading; proposed_gates; alkaline_earth_arrays</x:v>
      </x:c>
      <x:c r="U51" s="15" t="str">
        <x:v>yes</x:v>
      </x:c>
      <x:c r="V51" s="15" t="str">
        <x:v>experimental</x:v>
      </x:c>
      <x:c r="W51" s="15" t="str">
        <x:v>mixed</x:v>
      </x:c>
      <x:c r="X51" s="15" t="str">
        <x:v>no</x:v>
      </x:c>
      <x:c r="Y51" s="15"/>
      <x:c r="Z51" s="15" t="str">
        <x:v>High-efficiency loading of 2,400 Ytterbium atoms in optical tweezer arrays</x:v>
      </x:c>
      <x:c r="AA51" s="15" t="n">
        <x:v>2025</x:v>
      </x:c>
      <x:c r="AB51" s="15" t="str">
        <x:v>2026-06-17</x:v>
      </x:c>
      <x:c r="AC51" s="15" t="str">
        <x:v>https://arxiv.org/abs/2512.19795</x:v>
      </x:c>
      <x:c r="AD51" s="15" t="str">
        <x:v>https://arxiv.org/html/2512.19795v1</x:v>
      </x:c>
      <x:c r="AE51" s="15" t="str">
        <x:v>https://meetings-archive.aps.org/damop/2026/r04/</x:v>
      </x:c>
      <x:c r="AF51" s="15"/>
      <x:c r="AG51" s="15" t="str">
        <x:v>Q-018; Q-020</x:v>
      </x:c>
      <x:c r="AH51" s="15"/>
      <x:c r="AI51" s="15"/>
      <x:c r="AJ51" s="15"/>
      <x:c r="AK51" s="15" t="str">
        <x:v>Promoted in v0.9 as B, not A: optical tweezer/Yb scaling is clear; Rydberg role is prospective/estimated rather than demonstrated in this paper.</x:v>
      </x:c>
      <x:c r="AL51" s="15" t="str">
        <x:v>Watch for follow-up papers demonstrating actual Yb Rydberg gates or blockade on this platform.</x:v>
      </x:c>
      <x:c r="AM51" s="15"/>
    </x:row>
    <x:row r="52" ht="60" customHeight="1">
      <x:c r="A52" s="14" t="str">
        <x:v>E-051</x:v>
      </x:c>
      <x:c r="B52" s="14" t="str">
        <x:v>Burgers Lab Yb atom-array architecture</x:v>
      </x:c>
      <x:c r="C52" s="14" t="str">
        <x:v>academic</x:v>
      </x:c>
      <x:c r="D52" s="14" t="str">
        <x:v>verified</x:v>
      </x:c>
      <x:c r="E52" s="14" t="str">
        <x:v>B</x:v>
      </x:c>
      <x:c r="F52" s="14" t="n">
        <x:v>4</x:v>
      </x:c>
      <x:c r="G52" s="14" t="str">
        <x:v>Alex P. Burgers</x:v>
      </x:c>
      <x:c r="H52" s="14" t="str">
        <x:v>University of Michigan</x:v>
      </x:c>
      <x:c r="I52" s="14" t="str">
        <x:v>Electrical Engineering and Computer Science / Quantum Research Institute</x:v>
      </x:c>
      <x:c r="J52" s="14" t="str">
        <x:v>Ann Arbor</x:v>
      </x:c>
      <x:c r="K52" s="14" t="str">
        <x:v>MI</x:v>
      </x:c>
      <x:c r="L52" s="14" t="str">
        <x:v>United States</x:v>
      </x:c>
      <x:c r="M52" s="14" t="n">
        <x:v>42.2808</x:v>
      </x:c>
      <x:c r="N52" s="14" t="n">
        <x:v>-83.743</x:v>
      </x:c>
      <x:c r="O52" s="14" t="str">
        <x:v>https://ece.engin.umich.edu/stories/alex-burgers-awarded-aro-support-for-research-on-long-lasting-qubit-states-in-ytterbium</x:v>
      </x:c>
      <x:c r="P52" s="14"/>
      <x:c r="Q52" s="14"/>
      <x:c r="R52" s="14" t="str">
        <x:v>optical_tweezers; Yb; neutral_atom_qc; qec_architecture; rydberg_entanglement</x:v>
      </x:c>
      <x:c r="S52" s="14" t="str">
        <x:v>Yb</x:v>
      </x:c>
      <x:c r="T52" s="14" t="str">
        <x:v>architecture; metastable_encoding; qec; rydberg_entanglement</x:v>
      </x:c>
      <x:c r="U52" s="14" t="str">
        <x:v>yes</x:v>
      </x:c>
      <x:c r="V52" s="14" t="str">
        <x:v>mixed</x:v>
      </x:c>
      <x:c r="W52" s="14" t="str">
        <x:v>mixed</x:v>
      </x:c>
      <x:c r="X52" s="14" t="str">
        <x:v>no</x:v>
      </x:c>
      <x:c r="Y52" s="14"/>
      <x:c r="Z52" s="14" t="str">
        <x:v>A Dual Metastable-State Encoding Architecture for Quantum Processing with 171Yb Atom Arrays</x:v>
      </x:c>
      <x:c r="AA52" s="14" t="n">
        <x:v>2026</x:v>
      </x:c>
      <x:c r="AB52" s="14" t="str">
        <x:v>2026-06-17</x:v>
      </x:c>
      <x:c r="AC52" s="14" t="str">
        <x:v>https://arxiv.org/abs/2606.08453</x:v>
      </x:c>
      <x:c r="AD52" s="14" t="str">
        <x:v>https://arxiv.org/html/2606.08453v1</x:v>
      </x:c>
      <x:c r="AE52" s="14" t="str">
        <x:v>https://ece.engin.umich.edu/stories/alex-burgers-awarded-aro-support-for-research-on-long-lasting-qubit-states-in-ytterbium</x:v>
      </x:c>
      <x:c r="AF52" s="14"/>
      <x:c r="AG52" s="14" t="str">
        <x:v>Q-018; Q-020</x:v>
      </x:c>
      <x:c r="AH52" s="14"/>
      <x:c r="AI52" s="14"/>
      <x:c r="AJ52" s="14"/>
      <x:c r="AK52" s="14" t="str">
        <x:v>Promoted in v0.9 from candidate. Architecture/theory/hardware-direction node; Rydberg-mediated entanglement is in scope.</x:v>
      </x:c>
      <x:c r="AL52" s="14" t="str">
        <x:v>Determine whether to classify as experimental lab once hardware activity is visible beyond architecture proposals.</x:v>
      </x:c>
    </x:row>
    <x:row r="53" ht="60" customHeight="1">
      <x:c r="A53" s="14" t="str">
        <x:v>E-052</x:v>
      </x:c>
      <x:c r="B53" s="14" t="str">
        <x:v>Ni Group dual-species atom quantum simulator</x:v>
      </x:c>
      <x:c r="C53" s="14" t="str">
        <x:v>academic</x:v>
      </x:c>
      <x:c r="D53" s="14" t="str">
        <x:v>verified</x:v>
      </x:c>
      <x:c r="E53" s="14" t="str">
        <x:v>A</x:v>
      </x:c>
      <x:c r="F53" s="14" t="n">
        <x:v>5</x:v>
      </x:c>
      <x:c r="G53" s="14" t="str">
        <x:v>Kang-Kuen Ni</x:v>
      </x:c>
      <x:c r="H53" s="14" t="str">
        <x:v>Harvard University</x:v>
      </x:c>
      <x:c r="I53" s="14" t="str">
        <x:v>Department of Chemistry and Chemical Biology / Department of Physics</x:v>
      </x:c>
      <x:c r="J53" s="14" t="str">
        <x:v>Cambridge</x:v>
      </x:c>
      <x:c r="K53" s="14" t="str">
        <x:v>MA</x:v>
      </x:c>
      <x:c r="L53" s="14" t="str">
        <x:v>United States</x:v>
      </x:c>
      <x:c r="M53" s="14" t="n">
        <x:v>42.3736</x:v>
      </x:c>
      <x:c r="N53" s="14" t="n">
        <x:v>-71.1097</x:v>
      </x:c>
      <x:c r="O53" s="14" t="str">
        <x:v>https://kni.faculty.chemistry.harvard.edu/dual-species-atom-quantum-simulator</x:v>
      </x:c>
      <x:c r="P53" s="14"/>
      <x:c r="Q53" s="14"/>
      <x:c r="R53" s="14" t="str">
        <x:v>dual_species; optical_tweezers; rydberg_array; qec; neutral_atom_qc; molecules</x:v>
      </x:c>
      <x:c r="S53" s="14" t="str">
        <x:v>Na; Cs; molecules</x:v>
      </x:c>
      <x:c r="T53" s="14" t="str">
        <x:v>stabilizer_readout; dual_species_gates; blockade; qec; quantum_simulation</x:v>
      </x:c>
      <x:c r="U53" s="14" t="str">
        <x:v>yes</x:v>
      </x:c>
      <x:c r="V53" s="14" t="str">
        <x:v>experimental</x:v>
      </x:c>
      <x:c r="W53" s="14" t="str">
        <x:v>mixed</x:v>
      </x:c>
      <x:c r="X53" s="14" t="str">
        <x:v>no</x:v>
      </x:c>
      <x:c r="Y53" s="14"/>
      <x:c r="Z53" s="14" t="str">
        <x:v>Multi-Qubit Stabilizer Readout on a Dual-Species Rydberg Array; A dual-species Rydberg array</x:v>
      </x:c>
      <x:c r="AA53" s="14" t="n">
        <x:v>2026</x:v>
      </x:c>
      <x:c r="AB53" s="14" t="str">
        <x:v>2026-06-17</x:v>
      </x:c>
      <x:c r="AC53" s="14" t="str">
        <x:v>https://kni.faculty.chemistry.harvard.edu/dual-species-atom-quantum-simulator</x:v>
      </x:c>
      <x:c r="AD53" s="14" t="str">
        <x:v>https://arxiv.org/abs/2605.10924</x:v>
      </x:c>
      <x:c r="AE53" s="14" t="str">
        <x:v>https://arxiv.org/abs/2401.10325</x:v>
      </x:c>
      <x:c r="AF53" s="14"/>
      <x:c r="AG53" s="14" t="str">
        <x:v>Q-014; Q-018</x:v>
      </x:c>
      <x:c r="AH53" s="14"/>
      <x:c r="AI53" s="14"/>
      <x:c r="AJ53" s="14"/>
      <x:c r="AK53" s="14" t="str">
        <x:v>Promoted in v0.9 as separate Harvard experimental node; distinct enough from Lukin due to dual-species Na/Cs and molecule/atom-array orientation.</x:v>
      </x:c>
      <x:c r="AL53" s="14" t="str">
        <x:v>Avoid double-counting shared Harvard/QSA papers with Lukin/Bernien/Ni rows.</x:v>
      </x:c>
    </x:row>
    <x:row r="54" ht="60" customHeight="1">
      <x:c r="A54" s="14" t="str">
        <x:v>E-053</x:v>
      </x:c>
      <x:c r="B54" s="14" t="str">
        <x:v>Bilitewski Rydberg-array squeezing theory</x:v>
      </x:c>
      <x:c r="C54" s="14" t="str">
        <x:v>theory_group</x:v>
      </x:c>
      <x:c r="D54" s="14" t="str">
        <x:v>verified</x:v>
      </x:c>
      <x:c r="E54" s="14" t="str">
        <x:v>C</x:v>
      </x:c>
      <x:c r="F54" s="14" t="n">
        <x:v>2</x:v>
      </x:c>
      <x:c r="G54" s="14" t="str">
        <x:v>Thomas Bilitewski</x:v>
      </x:c>
      <x:c r="H54" s="14" t="str">
        <x:v>Oklahoma State University</x:v>
      </x:c>
      <x:c r="I54" s="14" t="str">
        <x:v>Department of Physics</x:v>
      </x:c>
      <x:c r="J54" s="14" t="str">
        <x:v>Stillwater</x:v>
      </x:c>
      <x:c r="K54" s="14" t="str">
        <x:v>OK</x:v>
      </x:c>
      <x:c r="L54" s="14" t="str">
        <x:v>United States</x:v>
      </x:c>
      <x:c r="M54" s="14" t="n">
        <x:v>36.1156</x:v>
      </x:c>
      <x:c r="N54" s="14" t="n">
        <x:v>-97.0584</x:v>
      </x:c>
      <x:c r="O54" s="14" t="str">
        <x:v>https://arxiv.org/html/2605.00096v1</x:v>
      </x:c>
      <x:c r="P54" s="14"/>
      <x:c r="Q54" s="14"/>
      <x:c r="R54" s="14" t="str">
        <x:v>rydberg_array; theory; metrology; squeezing; qudits</x:v>
      </x:c>
      <x:c r="S54" s="14" t="str">
        <x:v>generic</x:v>
      </x:c>
      <x:c r="T54" s="14" t="str">
        <x:v>spin_nematic_squeezing; metrology; dipolar_rydberg_theory</x:v>
      </x:c>
      <x:c r="U54" s="14" t="str">
        <x:v>yes</x:v>
      </x:c>
      <x:c r="V54" s="14" t="str">
        <x:v>no</x:v>
      </x:c>
      <x:c r="W54" s="14" t="str">
        <x:v>yes</x:v>
      </x:c>
      <x:c r="X54" s="14" t="str">
        <x:v>no</x:v>
      </x:c>
      <x:c r="Y54" s="14"/>
      <x:c r="Z54" s="14" t="str">
        <x:v>Scalable spin-nematic squeezing in multi-level dipole-interacting Rydberg atom arrays</x:v>
      </x:c>
      <x:c r="AA54" s="14" t="n">
        <x:v>2026</x:v>
      </x:c>
      <x:c r="AB54" s="14" t="str">
        <x:v>2026-06-17</x:v>
      </x:c>
      <x:c r="AC54" s="14" t="str">
        <x:v>https://arxiv.org/abs/2605.00096</x:v>
      </x:c>
      <x:c r="AD54" s="14" t="str">
        <x:v>https://arxiv.org/html/2605.00096v1</x:v>
      </x:c>
      <x:c r="AE54" s="14" t="str">
        <x:v>https://zenodo.org/records/20044075</x:v>
      </x:c>
      <x:c r="AF54" s="14"/>
      <x:c r="AG54" s="14" t="str">
        <x:v>Q-020; Q-021</x:v>
      </x:c>
      <x:c r="AH54" s="14"/>
      <x:c r="AI54" s="14"/>
      <x:c r="AJ54" s="14"/>
      <x:c r="AK54" s="14" t="str">
        <x:v>Promoted in v0.9 as adjacent theory node. Kept C because relevance is theory/metrology; not a group centered on tweezer hardware.</x:v>
      </x:c>
      <x:c r="AL54" s="14" t="str">
        <x:v>Replace arXiv HTML as website with official OSU group/profile if found.</x:v>
      </x:c>
    </x:row>
    <x:row r="55" ht="44" customHeight="1">
      <x:c r="A55" s="15" t="str">
        <x:v>E-054</x:v>
      </x:c>
      <x:c r="B55" s="15" t="str">
        <x:v>Katzgraber / Amazon Advanced Solutions Lab Rydberg-array compilation</x:v>
      </x:c>
      <x:c r="C55" s="15" t="str">
        <x:v>company_team</x:v>
      </x:c>
      <x:c r="D55" s="15" t="str">
        <x:v>verified</x:v>
      </x:c>
      <x:c r="E55" s="15" t="str">
        <x:v>B</x:v>
      </x:c>
      <x:c r="F55" s="15" t="n">
        <x:v>4</x:v>
      </x:c>
      <x:c r="G55" s="15" t="str">
        <x:v>Helmut G. Katzgraber; Martin J. A. Schuetz; Amazon/JPMorgan collaborators</x:v>
      </x:c>
      <x:c r="H55" s="15" t="str">
        <x:v>Amazon Advanced Solutions Lab / AWS</x:v>
      </x:c>
      <x:c r="I55" s="15" t="str">
        <x:v>Amazon Quantum Solutions Lab / Advanced Solutions Lab</x:v>
      </x:c>
      <x:c r="J55" s="15" t="str">
        <x:v>Seattle</x:v>
      </x:c>
      <x:c r="K55" s="15" t="str">
        <x:v>WA</x:v>
      </x:c>
      <x:c r="L55" s="15" t="str">
        <x:v>United States</x:v>
      </x:c>
      <x:c r="M55" s="15" t="n">
        <x:v>47.6062</x:v>
      </x:c>
      <x:c r="N55" s="15" t="n">
        <x:v>-122.3321</x:v>
      </x:c>
      <x:c r="O55" s="15" t="str">
        <x:v>https://arxiv.org/abs/2412.14976</x:v>
      </x:c>
      <x:c r="P55" s="15"/>
      <x:c r="Q55" s="15"/>
      <x:c r="R55" s="15" t="str">
        <x:v>rydberg_array; compilation; optimization; MIS; software; benchmarking; cloud_hardware</x:v>
      </x:c>
      <x:c r="S55" s="15" t="str">
        <x:v>generic</x:v>
      </x:c>
      <x:c r="T55" s="15" t="str">
        <x:v>compilation; MIS; hardware_compatibility; graph_embedding; quantum_optimization</x:v>
      </x:c>
      <x:c r="U55" s="15" t="str">
        <x:v>yes</x:v>
      </x:c>
      <x:c r="V55" s="15" t="str">
        <x:v>no</x:v>
      </x:c>
      <x:c r="W55" s="15" t="str">
        <x:v>yes</x:v>
      </x:c>
      <x:c r="X55" s="15" t="str">
        <x:v>yes</x:v>
      </x:c>
      <x:c r="Y55" s="15" t="str">
        <x:v>Amazon Braket / QuEra Aquila</x:v>
      </x:c>
      <x:c r="Z55" s="15" t="str">
        <x:v>Quantum Compilation Toolkit for Rydberg Atom Arrays with Implications for Problem Hardness and Quantum Speedups</x:v>
      </x:c>
      <x:c r="AA55" s="15" t="n">
        <x:v>2025</x:v>
      </x:c>
      <x:c r="AB55" s="15" t="str">
        <x:v>2026-06-17</x:v>
      </x:c>
      <x:c r="AC55" s="15" t="str">
        <x:v>https://arxiv.org/html/2412.14976v1</x:v>
      </x:c>
      <x:c r="AD55" s="15" t="str">
        <x:v>https://aws.amazon.com/blogs/quantum-computing/jpmorgan-chase-and-aws-study-the-prospects-for-quantum-speedups-with-near-term-rydberg-atom-arrays/</x:v>
      </x:c>
      <x:c r="AE55" s="15" t="str">
        <x:v>https://katzgraber.org/pubs/</x:v>
      </x:c>
      <x:c r="AF55" s="15"/>
      <x:c r="AG55" s="15" t="str">
        <x:v>Q-019; Q-021; Q-022</x:v>
      </x:c>
      <x:c r="AH55" s="15"/>
      <x:c r="AI55" s="15"/>
      <x:c r="AJ55" s="15"/>
      <x:c r="AK55" s="15" t="str">
        <x:v>Promoted in v1.0 from QC. This is not a hardware lab, but it is a relevant company/software node for Rydberg-array compilation and near-term MIS workflows.</x:v>
      </x:c>
      <x:c r="AL55" s="15" t="str">
        <x:v>Decide later whether to represent Amazon/JPMorgan as one ecosystem node or split AWS/financial-user application nodes.</x:v>
      </x:c>
    </x:row>
    <x:row r="56" ht="44" customHeight="1">
      <x:c r="A56" s="15" t="str">
        <x:v>E-055</x:v>
      </x:c>
      <x:c r="B56" s="15" t="str">
        <x:v>Heng Shen atomic-array quantum computation and simulation lab</x:v>
      </x:c>
      <x:c r="C56" s="15" t="str">
        <x:v>academic</x:v>
      </x:c>
      <x:c r="D56" s="15" t="str">
        <x:v>verified</x:v>
      </x:c>
      <x:c r="E56" s="15" t="str">
        <x:v>B</x:v>
      </x:c>
      <x:c r="F56" s="15" t="n">
        <x:v>4</x:v>
      </x:c>
      <x:c r="G56" s="15" t="str">
        <x:v>Heng Shen</x:v>
      </x:c>
      <x:c r="H56" s="15" t="str">
        <x:v>Shanxi University</x:v>
      </x:c>
      <x:c r="I56" s="15" t="str">
        <x:v>State Key Laboratory of Quantum Optics Technologies and Devices / Quantum Computation and Quantum Simulation with Atomic array and Trapped Ions</x:v>
      </x:c>
      <x:c r="J56" s="15" t="str">
        <x:v>Taiyuan</x:v>
      </x:c>
      <x:c r="K56" s="15" t="str">
        <x:v>Shanxi</x:v>
      </x:c>
      <x:c r="L56" s="15" t="str">
        <x:v>China</x:v>
      </x:c>
      <x:c r="M56" s="15" t="n">
        <x:v>37.8706</x:v>
      </x:c>
      <x:c r="N56" s="15" t="n">
        <x:v>112.5489</x:v>
      </x:c>
      <x:c r="O56" s="15" t="str">
        <x:v>https://ioe.sxu.edu.cn/sys/labs14/Team14/index.htm</x:v>
      </x:c>
      <x:c r="P56" s="15"/>
      <x:c r="Q56" s="15" t="str">
        <x:v>hengshen@sxu.edu.cn</x:v>
      </x:c>
      <x:c r="R56" s="15" t="str">
        <x:v>rydberg_array; atom_array; quantum_simulation; metrology; theory_experiment_mix</x:v>
      </x:c>
      <x:c r="S56" s="15" t="str">
        <x:v>unknown</x:v>
      </x:c>
      <x:c r="T56" s="15" t="str">
        <x:v>state_preparation; ordered_states; metrology; quantum_simulation; neutral_atom_arrays</x:v>
      </x:c>
      <x:c r="U56" s="15" t="str">
        <x:v>yes</x:v>
      </x:c>
      <x:c r="V56" s="15" t="str">
        <x:v>mixed</x:v>
      </x:c>
      <x:c r="W56" s="15" t="str">
        <x:v>mixed</x:v>
      </x:c>
      <x:c r="X56" s="15" t="str">
        <x:v>no</x:v>
      </x:c>
      <x:c r="Y56" s="15"/>
      <x:c r="Z56" s="15" t="str">
        <x:v>Rapid passage to ordered states in Rydberg-atom arrays; Entanglement-enhanced quantum metrology with neutral atom arrays</x:v>
      </x:c>
      <x:c r="AA56" s="15" t="n">
        <x:v>2025</x:v>
      </x:c>
      <x:c r="AB56" s="15" t="str">
        <x:v>2026-06-17</x:v>
      </x:c>
      <x:c r="AC56" s="15" t="str">
        <x:v>https://ioe.sxu.edu.cn/sys/labs14/Team14/index.htm</x:v>
      </x:c>
      <x:c r="AD56" s="15" t="str">
        <x:v>https://arxiv.org/abs/2504.19214</x:v>
      </x:c>
      <x:c r="AE56" s="15" t="str">
        <x:v>https://pmc.ncbi.nlm.nih.gov/articles/PMC12236344/</x:v>
      </x:c>
      <x:c r="AF56" s="15"/>
      <x:c r="AG56" s="15" t="str">
        <x:v>Q-020; Q-021</x:v>
      </x:c>
      <x:c r="AH56" s="15"/>
      <x:c r="AI56" s="15"/>
      <x:c r="AJ56" s="15"/>
      <x:c r="AK56" s="15" t="str">
        <x:v>Promoted in v1.0. Official lab page identifies Heng Shen as PI; recent papers explicitly discuss Rydberg/neutral-atom arrays. Exact experimental setup still needs validation.</x:v>
      </x:c>
      <x:c r="AL56" s="15" t="str">
        <x:v>Check whether the lab operates its own Rydberg tweezer hardware or mainly uses cloud/partner systems.</x:v>
      </x:c>
    </x:row>
    <x:row r="57" ht="44" customHeight="1">
      <x:c r="A57" s="15" t="str">
        <x:v>E-056</x:v>
      </x:c>
      <x:c r="B57" s="15" t="str">
        <x:v>Xiangliang Li / BAQIS cold-atom and Rydberg-theory node</x:v>
      </x:c>
      <x:c r="C57" s="15" t="str">
        <x:v>theory_group</x:v>
      </x:c>
      <x:c r="D57" s="15" t="str">
        <x:v>verified</x:v>
      </x:c>
      <x:c r="E57" s="15" t="str">
        <x:v>C</x:v>
      </x:c>
      <x:c r="F57" s="15" t="n">
        <x:v>2</x:v>
      </x:c>
      <x:c r="G57" s="15" t="str">
        <x:v>Xiangliang Li</x:v>
      </x:c>
      <x:c r="H57" s="15" t="str">
        <x:v>Beijing Academy of Quantum Information Sciences (BAQIS)</x:v>
      </x:c>
      <x:c r="I57" s="15" t="str">
        <x:v>Division of Quantum Precision Measurement</x:v>
      </x:c>
      <x:c r="J57" s="15" t="str">
        <x:v>Beijing</x:v>
      </x:c>
      <x:c r="K57" s="15" t="str">
        <x:v>Beijing</x:v>
      </x:c>
      <x:c r="L57" s="15" t="str">
        <x:v>China</x:v>
      </x:c>
      <x:c r="M57" s="15" t="n">
        <x:v>39.9042</x:v>
      </x:c>
      <x:c r="N57" s="15" t="n">
        <x:v>116.4074</x:v>
      </x:c>
      <x:c r="O57" s="15" t="str">
        <x:v>https://en.baqis.ac.cn/people/detail/?cid=1291</x:v>
      </x:c>
      <x:c r="P57" s="15"/>
      <x:c r="Q57" s="15" t="str">
        <x:v>lixl@baqis.ac.cn</x:v>
      </x:c>
      <x:c r="R57" s="15" t="str">
        <x:v>cold_atoms; rydberg_gates; theory; quantum_precision_measurement; adjacent</x:v>
      </x:c>
      <x:c r="S57" s="15" t="str">
        <x:v>generic</x:v>
      </x:c>
      <x:c r="T57" s="15" t="str">
        <x:v>gate_theory; many_body_theory; quantum_precision_measurement; adjacent_rydberg</x:v>
      </x:c>
      <x:c r="U57" s="15" t="str">
        <x:v>unclear</x:v>
      </x:c>
      <x:c r="V57" s="15" t="str">
        <x:v>no</x:v>
      </x:c>
      <x:c r="W57" s="15" t="str">
        <x:v>yes</x:v>
      </x:c>
      <x:c r="X57" s="15" t="str">
        <x:v>no</x:v>
      </x:c>
      <x:c r="Y57" s="15"/>
      <x:c r="Z57" s="15" t="str">
        <x:v>High-fidelity robust controlled-Z gates with Rydberg atoms; related cold-atom/Rydberg-theory publications</x:v>
      </x:c>
      <x:c r="AA57" s="15" t="n">
        <x:v>2026</x:v>
      </x:c>
      <x:c r="AB57" s="15" t="str">
        <x:v>2026-06-17</x:v>
      </x:c>
      <x:c r="AC57" s="15" t="str">
        <x:v>https://en.baqis.ac.cn/people/detail/?cid=1291</x:v>
      </x:c>
      <x:c r="AD57" s="15" t="str">
        <x:v>https://scholar.google.com/citations?hl=en&amp;user=N1uYidoAAAAJ</x:v>
      </x:c>
      <x:c r="AE57" s="15" t="str">
        <x:v>https://oamonitor.ireland.openaire.eu/rpo/rcsi/search/publication?pid=10.1103%2Fphysreva.110.032619</x:v>
      </x:c>
      <x:c r="AF57" s="15"/>
      <x:c r="AG57" s="15" t="str">
        <x:v>Q-020; Q-021</x:v>
      </x:c>
      <x:c r="AH57" s="15"/>
      <x:c r="AI57" s="15"/>
      <x:c r="AJ57" s="15"/>
      <x:c r="AK57" s="15" t="str">
        <x:v>Promoted cautiously in v1.0 as C/adjacent. Affiliation is clear, but direct optical-tweezer Rydberg-array role is not yet strong enough for B/A.</x:v>
      </x:c>
      <x:c r="AL57" s="15" t="str">
        <x:v>Keep only if future arXiv scan finds direct Rydberg-tweezer/array papers by this PI.</x:v>
      </x:c>
    </x:row>
    <x:row r="58" ht="44" customHeight="1">
      <x:c r="A58" s="15" t="str">
        <x:v>E-057</x:v>
      </x:c>
      <x:c r="B58" s="15" t="str">
        <x:v>Bakr Laboratory for Ultracold Quantum Gases</x:v>
      </x:c>
      <x:c r="C58" s="15" t="str">
        <x:v>academic</x:v>
      </x:c>
      <x:c r="D58" s="15" t="str">
        <x:v>verified</x:v>
      </x:c>
      <x:c r="E58" s="15" t="str">
        <x:v>B</x:v>
      </x:c>
      <x:c r="F58" s="15" t="n">
        <x:v>4</x:v>
      </x:c>
      <x:c r="G58" s="15" t="str">
        <x:v>Waseem S. Bakr</x:v>
      </x:c>
      <x:c r="H58" s="15" t="str">
        <x:v>Princeton University</x:v>
      </x:c>
      <x:c r="I58" s="15" t="str">
        <x:v>Department of Physics / Laboratory for Ultracold Quantum Gases</x:v>
      </x:c>
      <x:c r="J58" s="15" t="str">
        <x:v>Princeton</x:v>
      </x:c>
      <x:c r="K58" s="15" t="str">
        <x:v>NJ</x:v>
      </x:c>
      <x:c r="L58" s="15" t="str">
        <x:v>United States</x:v>
      </x:c>
      <x:c r="M58" s="15" t="n">
        <x:v>40.3431</x:v>
      </x:c>
      <x:c r="N58" s="15" t="n">
        <x:v>-74.6551</x:v>
      </x:c>
      <x:c r="O58" s="15" t="str">
        <x:v>https://phy.princeton.edu/people/waseem-bakr</x:v>
      </x:c>
      <x:c r="P58" s="15"/>
      <x:c r="Q58" s="15" t="str">
        <x:v>waseem.bakr@princeton.edu</x:v>
      </x:c>
      <x:c r="R58" s="15" t="str">
        <x:v>optical_tweezers; rydberg_array; cryogenic; Cs; ultracold_gases; molecules</x:v>
      </x:c>
      <x:c r="S58" s="15" t="str">
        <x:v>Cs; molecules; Rb?</x:v>
      </x:c>
      <x:c r="T58" s="15" t="str">
        <x:v>cryogenic_rydberg; coherent_ground_rydberg_control; many_body_physics; metrology</x:v>
      </x:c>
      <x:c r="U58" s="15" t="str">
        <x:v>yes</x:v>
      </x:c>
      <x:c r="V58" s="15" t="str">
        <x:v>experimental</x:v>
      </x:c>
      <x:c r="W58" s="15" t="str">
        <x:v>mixed</x:v>
      </x:c>
      <x:c r="X58" s="15" t="str">
        <x:v>no</x:v>
      </x:c>
      <x:c r="Y58" s="15"/>
      <x:c r="Z58" s="15" t="str">
        <x:v>Extended Rydberg Lifetimes in a Cryogenic Atom Array</x:v>
      </x:c>
      <x:c r="AA58" s="15" t="n">
        <x:v>2026</x:v>
      </x:c>
      <x:c r="AB58" s="15" t="str">
        <x:v>2026-06-17</x:v>
      </x:c>
      <x:c r="AC58" s="15" t="str">
        <x:v>https://phy.princeton.edu/people/waseem-bakr</x:v>
      </x:c>
      <x:c r="AD58" s="15" t="str">
        <x:v>https://arxiv.org/abs/2602.05959</x:v>
      </x:c>
      <x:c r="AE58" s="15" t="str">
        <x:v>http://ultracold.princeton.edu</x:v>
      </x:c>
      <x:c r="AF58" s="15"/>
      <x:c r="AG58" s="15" t="str">
        <x:v>Q-018; Q-020</x:v>
      </x:c>
      <x:c r="AH58" s="15"/>
      <x:c r="AI58" s="15"/>
      <x:c r="AJ58" s="15"/>
      <x:c r="AK58" s="15" t="str">
        <x:v>Promoted in v1.0. Official Princeton profile lists Rydberg atoms among interests; 2026 arXiv reports Cs optical tweezer array in cryogenic environment with ground-Rydberg manipulation.</x:v>
      </x:c>
      <x:c r="AL58" s="15" t="str">
        <x:v>Separate from Thompson/Princeton; validate exact lab page and whether this becomes a sustained Rydberg-tweezer program.</x:v>
      </x:c>
    </x:row>
    <x:row r="59" ht="44" customHeight="1">
      <x:c r="A59" s="15" t="str">
        <x:v>E-058</x:v>
      </x:c>
      <x:c r="B59" s="15" t="str">
        <x:v>Lin Li Rydberg atom array group</x:v>
      </x:c>
      <x:c r="C59" s="15" t="str">
        <x:v>academic</x:v>
      </x:c>
      <x:c r="D59" s="15" t="str">
        <x:v>verified</x:v>
      </x:c>
      <x:c r="E59" s="15" t="str">
        <x:v>A</x:v>
      </x:c>
      <x:c r="F59" s="15" t="n">
        <x:v>5</x:v>
      </x:c>
      <x:c r="G59" s="15" t="str">
        <x:v>Lin Li</x:v>
      </x:c>
      <x:c r="H59" s="15" t="str">
        <x:v>Huazhong University of Science and Technology</x:v>
      </x:c>
      <x:c r="I59" s="15" t="str">
        <x:v>School of Physics / Institute for Quantum Science and Engineering</x:v>
      </x:c>
      <x:c r="J59" s="15" t="str">
        <x:v>Wuhan</x:v>
      </x:c>
      <x:c r="K59" s="15" t="str">
        <x:v>Hubei</x:v>
      </x:c>
      <x:c r="L59" s="15" t="str">
        <x:v>China</x:v>
      </x:c>
      <x:c r="M59" s="15" t="n">
        <x:v>30.5928</x:v>
      </x:c>
      <x:c r="N59" s="15" t="n">
        <x:v>114.3055</x:v>
      </x:c>
      <x:c r="O59" s="15" t="str">
        <x:v>https://www.linlilab.cn/</x:v>
      </x:c>
      <x:c r="P59" s="15"/>
      <x:c r="Q59" s="15"/>
      <x:c r="R59" s="15" t="str">
        <x:v>rydberg_array; optical_tweezers; quantum_information_scrambling; quantum_simulation; metrology; microwave_electrometry</x:v>
      </x:c>
      <x:c r="S59" s="15" t="str">
        <x:v>Rb?; unknown</x:v>
      </x:c>
      <x:c r="T59" s="15" t="str">
        <x:v>many_body_dynamics; OTOC; quantum_information_scrambling; microwave_electrometry; Rydberg blockade</x:v>
      </x:c>
      <x:c r="U59" s="15" t="str">
        <x:v>yes</x:v>
      </x:c>
      <x:c r="V59" s="15" t="str">
        <x:v>experimental</x:v>
      </x:c>
      <x:c r="W59" s="15" t="str">
        <x:v>mixed</x:v>
      </x:c>
      <x:c r="X59" s="15" t="str">
        <x:v>no</x:v>
      </x:c>
      <x:c r="Y59" s="15"/>
      <x:c r="Z59" s="15" t="str">
        <x:v>Observation of quantum information collapse-and-revival in a strongly-interacting Rydberg atom array; Microwave electrometry with quantum-limited resolutions in a Rydberg-atom array</x:v>
      </x:c>
      <x:c r="AA59" s="15" t="n">
        <x:v>2026</x:v>
      </x:c>
      <x:c r="AB59" s="15" t="str">
        <x:v>2026-06-17</x:v>
      </x:c>
      <x:c r="AC59" s="15" t="str">
        <x:v>https://www.linlilab.cn/</x:v>
      </x:c>
      <x:c r="AD59" s="15" t="str">
        <x:v>https://arxiv.org/abs/2410.15455</x:v>
      </x:c>
      <x:c r="AE59" s="15" t="str">
        <x:v>https://arxiv.org/abs/2512.05413</x:v>
      </x:c>
      <x:c r="AF59" s="15"/>
      <x:c r="AG59" s="15" t="str">
        <x:v>Q-018; Q-020; Q-021</x:v>
      </x:c>
      <x:c r="AH59" s="15"/>
      <x:c r="AI59" s="15"/>
      <x:c r="AJ59" s="15"/>
      <x:c r="AK59" s="15" t="str">
        <x:v>Promoted in v1.0 as A core: official lab page says it focuses on Rydberg atoms; recent arXiv/work reports strongly interacting Rydberg atom arrays and tweezer-array electrometry.</x:v>
      </x:c>
      <x:c r="AL59" s="15" t="str">
        <x:v>Extract exact species and affiliations from the Nature Communications/PRL PDFs; add team latitude/longitude precision later.</x:v>
      </x:c>
    </x:row>
    <x:row r="60" ht="44" customHeight="1">
      <x:c r="A60" s="15" t="str">
        <x:v>E-059</x:v>
      </x:c>
      <x:c r="B60" s="15" t="str">
        <x:v>Li You / NUS-CQT atomic tweezer Rydberg-array program</x:v>
      </x:c>
      <x:c r="C60" s="15" t="str">
        <x:v>academic</x:v>
      </x:c>
      <x:c r="D60" s="15" t="str">
        <x:v>needs_review</x:v>
      </x:c>
      <x:c r="E60" s="15" t="str">
        <x:v>B</x:v>
      </x:c>
      <x:c r="F60" s="15" t="n">
        <x:v>4</x:v>
      </x:c>
      <x:c r="G60" s="15" t="str">
        <x:v>Li You; Meng Khoon Tey; collaborators</x:v>
      </x:c>
      <x:c r="H60" s="15" t="str">
        <x:v>National University of Singapore / Centre for Quantum Technologies</x:v>
      </x:c>
      <x:c r="I60" s="15" t="str">
        <x:v>Department of Physics / CQT</x:v>
      </x:c>
      <x:c r="J60" s="15" t="str">
        <x:v>Singapore</x:v>
      </x:c>
      <x:c r="K60" s="15"/>
      <x:c r="L60" s="15" t="str">
        <x:v>Singapore</x:v>
      </x:c>
      <x:c r="M60" s="15" t="n">
        <x:v>1.3521</x:v>
      </x:c>
      <x:c r="N60" s="15" t="n">
        <x:v>103.8198</x:v>
      </x:c>
      <x:c r="O60" s="15" t="str">
        <x:v>https://www.cqt.sg/highlight/2023-03-tweezers-atom-array/</x:v>
      </x:c>
      <x:c r="P60" s="15"/>
      <x:c r="Q60" s="15"/>
      <x:c r="R60" s="15" t="str">
        <x:v>optical_tweezers; rydberg_array; atomic_tweezer_array; quantum_scrambling; quantum_simulation</x:v>
      </x:c>
      <x:c r="S60" s="15" t="str">
        <x:v>Rb</x:v>
      </x:c>
      <x:c r="T60" s="15" t="str">
        <x:v>many_body_scars; OTOC; anomalous_information_scrambling; Rydberg_blockade</x:v>
      </x:c>
      <x:c r="U60" s="15" t="str">
        <x:v>yes</x:v>
      </x:c>
      <x:c r="V60" s="15" t="str">
        <x:v>experimental</x:v>
      </x:c>
      <x:c r="W60" s="15" t="str">
        <x:v>mixed</x:v>
      </x:c>
      <x:c r="X60" s="15" t="str">
        <x:v>no</x:v>
      </x:c>
      <x:c r="Y60" s="15"/>
      <x:c r="Z60" s="15" t="str">
        <x:v>Observation of anomalous information scrambling in a Rydberg atom array</x:v>
      </x:c>
      <x:c r="AA60" s="15" t="n">
        <x:v>2025</x:v>
      </x:c>
      <x:c r="AB60" s="15" t="str">
        <x:v>2026-06-17</x:v>
      </x:c>
      <x:c r="AC60" s="15" t="str">
        <x:v>https://arxiv.org/abs/2410.16174</x:v>
      </x:c>
      <x:c r="AD60" s="15" t="str">
        <x:v>https://link.aps.org/doi/10.1103/w1cp-l5vq</x:v>
      </x:c>
      <x:c r="AE60" s="15" t="str">
        <x:v>https://news.nus.edu.sg/defect-free-atom-array/</x:v>
      </x:c>
      <x:c r="AF60" s="15"/>
      <x:c r="AG60" s="15" t="str">
        <x:v>Q-018; Q-020; Q-021</x:v>
      </x:c>
      <x:c r="AH60" s="15"/>
      <x:c r="AI60" s="15"/>
      <x:c r="AJ60" s="15"/>
      <x:c r="AK60" s="15" t="str">
        <x:v>Promoted in v1.0 as a B experimental candidate. Paper explicitly uses atomic tweezer array and Rydberg blockade; institutional lab mapping still needs cleaner official PI/lab page.</x:v>
      </x:c>
      <x:c r="AL60" s="15" t="str">
        <x:v>Resolve whether primary node should be Li You, Meng Khoon Tey, Loh Huanqian/CQT, or a broader NUS-CQT atom-array ecosystem node.</x:v>
      </x:c>
    </x:row>
    <x:row r="61">
      <x:c r="A61" s="14" t="str">
        <x:v>E-060</x:v>
      </x:c>
      <x:c r="B61" s="14" t="str">
        <x:v>Yelin quantum-optics theory and global-control Rydberg-array node</x:v>
      </x:c>
      <x:c r="C61" s="14" t="str">
        <x:v>theory_group</x:v>
      </x:c>
      <x:c r="D61" s="14" t="str">
        <x:v>verified</x:v>
      </x:c>
      <x:c r="E61" s="14" t="str">
        <x:v>B</x:v>
      </x:c>
      <x:c r="F61" s="14" t="n">
        <x:v>4</x:v>
      </x:c>
      <x:c r="G61" s="14" t="str">
        <x:v>Susanne F. Yelin</x:v>
      </x:c>
      <x:c r="H61" s="14" t="str">
        <x:v>Harvard University</x:v>
      </x:c>
      <x:c r="I61" s="14" t="str">
        <x:v>Department of Physics / theoretical quantum optics</x:v>
      </x:c>
      <x:c r="J61" s="14" t="str">
        <x:v>Cambridge</x:v>
      </x:c>
      <x:c r="K61" s="14" t="str">
        <x:v>MA</x:v>
      </x:c>
      <x:c r="L61" s="14" t="str">
        <x:v>United States</x:v>
      </x:c>
      <x:c r="M61" s="14" t="n">
        <x:v>42.3736</x:v>
      </x:c>
      <x:c r="N61" s="14" t="n">
        <x:v>-71.1097</x:v>
      </x:c>
      <x:c r="O61" s="14" t="str">
        <x:v>https://www.physics.harvard.edu/people/facpages/yelin</x:v>
      </x:c>
      <x:c r="P61" s="14"/>
      <x:c r="Q61" s="14"/>
      <x:c r="R61" s="14" t="str">
        <x:v>rydberg_array; analog_quantum_simulation; global_control; quantum_optimal_control; theory; experimental_collaboration</x:v>
      </x:c>
      <x:c r="S61" s="14" t="str">
        <x:v>generic</x:v>
      </x:c>
      <x:c r="T61" s="14" t="str">
        <x:v>global_control; quantum_optimal_control; multi_body_interactions; topological_dynamics; simulation_theory</x:v>
      </x:c>
      <x:c r="U61" s="14" t="str">
        <x:v>yes</x:v>
      </x:c>
      <x:c r="V61" s="14" t="str">
        <x:v>no</x:v>
      </x:c>
      <x:c r="W61" s="14" t="str">
        <x:v>yes</x:v>
      </x:c>
      <x:c r="X61" s="14" t="str">
        <x:v>no</x:v>
      </x:c>
      <x:c r="Y61" s="14"/>
      <x:c r="Z61" s="14" t="str">
        <x:v>Universal Dynamics with Globally Controlled Analog Quantum Simulators</x:v>
      </x:c>
      <x:c r="AA61" s="14" t="n">
        <x:v>2026</x:v>
      </x:c>
      <x:c r="AB61" s="14" t="str">
        <x:v>2026-06-18</x:v>
      </x:c>
      <x:c r="AC61" s="14" t="str">
        <x:v>https://arxiv.org/abs/2508.19075</x:v>
      </x:c>
      <x:c r="AD61" s="14" t="str">
        <x:v>https://www.physics.harvard.edu/people/facpages/yelin</x:v>
      </x:c>
      <x:c r="AE61" s="14"/>
      <x:c r="AF61" s="14"/>
      <x:c r="AG61" s="14" t="str">
        <x:v>Q-023; Q-024; Q-028</x:v>
      </x:c>
      <x:c r="AH61" s="14"/>
      <x:c r="AI61" s="14"/>
      <x:c r="AJ61" s="14"/>
      <x:c r="AK61" s="14" t="str">
        <x:v>Promoted in v1.3 from Affiliation_Cleanup_v1_2. The arXiv paper has Yelin as last author and reports direct quantum optimal control plus an experimental Rydberg-array demonstration; official Harvard page verifies the node as theoretical quantum optics/QIS.</x:v>
      </x:c>
      <x:c r="AL61" s="14" t="str">
        <x:v>Later split Harvard/Yelin from experimental partner group if paper-level affiliation analysis needs more granularity.</x:v>
      </x:c>
    </x:row>
    <x:row r="62">
      <x:c r="A62" s="14" t="str">
        <x:v>E-061</x:v>
      </x:c>
      <x:c r="B62" s="14" t="str">
        <x:v>LENS Florence Sr Rydberg Lab</x:v>
      </x:c>
      <x:c r="C62" s="14" t="str">
        <x:v>academic</x:v>
      </x:c>
      <x:c r="D62" s="14" t="str">
        <x:v>verified</x:v>
      </x:c>
      <x:c r="E62" s="14" t="str">
        <x:v>B</x:v>
      </x:c>
      <x:c r="F62" s="14" t="n">
        <x:v>4</x:v>
      </x:c>
      <x:c r="G62" s="14" t="str">
        <x:v>Leonardo Fallani; Vladislav Gavryusev; Jacopo Catani; Massimo Inguscio</x:v>
      </x:c>
      <x:c r="H62" s="14" t="str">
        <x:v>University of Florence / CNR-INO / LENS</x:v>
      </x:c>
      <x:c r="I62" s="14" t="str">
        <x:v>Quantum Gases / Sr Rydberg Lab</x:v>
      </x:c>
      <x:c r="J62" s="14" t="str">
        <x:v>Florence</x:v>
      </x:c>
      <x:c r="K62" s="14" t="str">
        <x:v>Tuscany</x:v>
      </x:c>
      <x:c r="L62" s="14" t="str">
        <x:v>Italy</x:v>
      </x:c>
      <x:c r="M62" s="14" t="n">
        <x:v>43.7696</x:v>
      </x:c>
      <x:c r="N62" s="14" t="n">
        <x:v>11.2558</x:v>
      </x:c>
      <x:c r="O62" s="14" t="str">
        <x:v>https://quantumgases.lens.unifi.it/exp/sr-rydberg</x:v>
      </x:c>
      <x:c r="P62" s="14"/>
      <x:c r="Q62" s="14" t="str">
        <x:v>fallani@lens.unifi.it</x:v>
      </x:c>
      <x:c r="R62" s="14" t="str">
        <x:v>rydberg_array; optical_tweezers; alkaline_earth; Sr; quantum_simulation; neutral_atom_qc; platform_buildout</x:v>
      </x:c>
      <x:c r="S62" s="14" t="str">
        <x:v>Sr</x:v>
      </x:c>
      <x:c r="T62" s="14" t="str">
        <x:v>quantum_simulation; platform_buildout; future_rydberg_interactions; optical_tweezer_arrays</x:v>
      </x:c>
      <x:c r="U62" s="14" t="str">
        <x:v>yes</x:v>
      </x:c>
      <x:c r="V62" s="14" t="str">
        <x:v>experimental</x:v>
      </x:c>
      <x:c r="W62" s="14" t="str">
        <x:v>mixed</x:v>
      </x:c>
      <x:c r="X62" s="14" t="str">
        <x:v>no</x:v>
      </x:c>
      <x:c r="Y62" s="14"/>
      <x:c r="Z62" s="14" t="str">
        <x:v>Single Sr Atoms in Optical Tweezer Arrays for Quantum Simulation; Sr Rydberg Lab updates</x:v>
      </x:c>
      <x:c r="AA62" s="14" t="n">
        <x:v>2026</x:v>
      </x:c>
      <x:c r="AB62" s="14" t="str">
        <x:v>2026-06-18</x:v>
      </x:c>
      <x:c r="AC62" s="14" t="str">
        <x:v>https://quantumgases.lens.unifi.it/exp/sr-rydberg</x:v>
      </x:c>
      <x:c r="AD62" s="14" t="str">
        <x:v>https://arxiv.org/abs/2510.19816</x:v>
      </x:c>
      <x:c r="AE62" s="14" t="str">
        <x:v>https://opg.optica.org/abstract.cfm?uri=QUANTUM-2024-QTh2A.2</x:v>
      </x:c>
      <x:c r="AF62" s="14"/>
      <x:c r="AG62" s="14" t="str">
        <x:v>Q-005; Q-018; Q-024</x:v>
      </x:c>
      <x:c r="AH62" s="14"/>
      <x:c r="AI62" s="14"/>
      <x:c r="AJ62" s="14"/>
      <x:c r="AK62" s="14" t="str">
        <x:v>Promoted in v1.3. Official LENS page says the lab is building a strontium Rydberg platform based on programmable optical-tweezer arrays and lists Fallani as scientific staff/contact.</x:v>
      </x:c>
      <x:c r="AL62" s="14" t="str">
        <x:v>Track whether first full Rydberg-interaction/gate paper appears; possible future promotion to A core.</x:v>
      </x:c>
    </x:row>
    <x:row r="63">
      <x:c r="A63" s="14" t="str">
        <x:v>E-062</x:v>
      </x:c>
      <x:c r="B63" s="14" t="str">
        <x:v>Peng Xu / CAS-Wuhan Rydberg excitation hardware node</x:v>
      </x:c>
      <x:c r="C63" s="14" t="str">
        <x:v>academic</x:v>
      </x:c>
      <x:c r="D63" s="14" t="str">
        <x:v>verified</x:v>
      </x:c>
      <x:c r="E63" s="14" t="str">
        <x:v>B</x:v>
      </x:c>
      <x:c r="F63" s="14" t="n">
        <x:v>4</x:v>
      </x:c>
      <x:c r="G63" s="14" t="str">
        <x:v>Peng Xu</x:v>
      </x:c>
      <x:c r="H63" s="14" t="str">
        <x:v>Innovation Academy for Precision Measurement Science and Technology, CAS / Wuhan Institute of Quantum Technology</x:v>
      </x:c>
      <x:c r="I63" s="14" t="str">
        <x:v>Division of Precision Measurement Physics</x:v>
      </x:c>
      <x:c r="J63" s="14" t="str">
        <x:v>Wuhan</x:v>
      </x:c>
      <x:c r="K63" s="14" t="str">
        <x:v>Hubei</x:v>
      </x:c>
      <x:c r="L63" s="14" t="str">
        <x:v>China</x:v>
      </x:c>
      <x:c r="M63" s="14" t="n">
        <x:v>30.5928</x:v>
      </x:c>
      <x:c r="N63" s="14" t="n">
        <x:v>114.3055</x:v>
      </x:c>
      <x:c r="O63" s="14" t="str">
        <x:v>https://arxiv.org/abs/2604.13436</x:v>
      </x:c>
      <x:c r="P63" s="14"/>
      <x:c r="Q63" s="14"/>
      <x:c r="R63" s="14" t="str">
        <x:v>rydberg_array; optical_tweezers; Rb; rydberg_excitation; pulsed_fiber_amplifier; technical_hardware</x:v>
      </x:c>
      <x:c r="S63" s="14" t="str">
        <x:v>Rb</x:v>
      </x:c>
      <x:c r="T63" s="14" t="str">
        <x:v>coherent_rydberg_excitation; pulsed_amplifier; hardware_scaling; high_power_excitation</x:v>
      </x:c>
      <x:c r="U63" s="14" t="str">
        <x:v>yes</x:v>
      </x:c>
      <x:c r="V63" s="14" t="str">
        <x:v>experimental</x:v>
      </x:c>
      <x:c r="W63" s="14" t="str">
        <x:v>mixed</x:v>
      </x:c>
      <x:c r="X63" s="14" t="str">
        <x:v>no</x:v>
      </x:c>
      <x:c r="Y63" s="14"/>
      <x:c r="Z63" s="14" t="str">
        <x:v>Coherent Rydberg excitation of single atoms using a pulsed fiber amplifier</x:v>
      </x:c>
      <x:c r="AA63" s="14" t="n">
        <x:v>2026</x:v>
      </x:c>
      <x:c r="AB63" s="14" t="str">
        <x:v>2026-06-18</x:v>
      </x:c>
      <x:c r="AC63" s="14" t="str">
        <x:v>https://arxiv.org/html/2604.13436v1</x:v>
      </x:c>
      <x:c r="AD63" s="14" t="str">
        <x:v>https://arxiv.org/abs/2604.13436</x:v>
      </x:c>
      <x:c r="AE63" s="14"/>
      <x:c r="AF63" s="14"/>
      <x:c r="AG63" s="14" t="str">
        <x:v>Q-020; Q-021; Q-024</x:v>
      </x:c>
      <x:c r="AH63" s="14"/>
      <x:c r="AI63" s="14"/>
      <x:c r="AJ63" s="14"/>
      <x:c r="AK63" s="14" t="str">
        <x:v>Promoted in v1.3. The 2026 arXiv HTML lists Peng Xu at CAS/Wuhan Institute of Quantum Technology and demonstrates coherent Rydberg excitation of single atoms in a rubidium optical-tweezer array.</x:v>
      </x:c>
      <x:c r="AL63" s="14" t="str">
        <x:v>Find official group page and determine relationship to Ming-Sheng Zhan / IAPM-CAS neutral-atom program.</x:v>
      </x:c>
    </x:row>
    <x:row r="64">
      <x:c r="A64" s="14" t="str">
        <x:v>E-063</x:v>
      </x:c>
      <x:c r="B64" s="14" t="str">
        <x:v>Lerose quantum-simulation theory node</x:v>
      </x:c>
      <x:c r="C64" s="14" t="str">
        <x:v>theory_group</x:v>
      </x:c>
      <x:c r="D64" s="14" t="str">
        <x:v>verified</x:v>
      </x:c>
      <x:c r="E64" s="14" t="str">
        <x:v>B</x:v>
      </x:c>
      <x:c r="F64" s="14" t="n">
        <x:v>4</x:v>
      </x:c>
      <x:c r="G64" s="14" t="str">
        <x:v>Alessio Lerose</x:v>
      </x:c>
      <x:c r="H64" s="14" t="str">
        <x:v>KU Leuven</x:v>
      </x:c>
      <x:c r="I64" s="14" t="str">
        <x:v>Institute for Theoretical Physics / research professor profile</x:v>
      </x:c>
      <x:c r="J64" s="14" t="str">
        <x:v>Leuven</x:v>
      </x:c>
      <x:c r="K64" s="14" t="str">
        <x:v>Flemish Brabant</x:v>
      </x:c>
      <x:c r="L64" s="14" t="str">
        <x:v>Belgium</x:v>
      </x:c>
      <x:c r="M64" s="14" t="n">
        <x:v>50.8798</x:v>
      </x:c>
      <x:c r="N64" s="14" t="n">
        <x:v>4.7005</x:v>
      </x:c>
      <x:c r="O64" s="14" t="str">
        <x:v>https://www.kuleuven.be/wieiswie/en/person/00172999</x:v>
      </x:c>
      <x:c r="P64" s="14"/>
      <x:c r="Q64" s="14"/>
      <x:c r="R64" s="14" t="str">
        <x:v>rydberg_array; quantum_simulation; theory; lattice_gauge; high_energy_physics; long_range_spins; neutral_atom_architecture</x:v>
      </x:c>
      <x:c r="S64" s="14" t="str">
        <x:v>generic</x:v>
      </x:c>
      <x:c r="T64" s="14" t="str">
        <x:v>lattice_gauge_simulation; Schwinger_model; quantum_simulation_design; theory_application</x:v>
      </x:c>
      <x:c r="U64" s="14" t="str">
        <x:v>unclear</x:v>
      </x:c>
      <x:c r="V64" s="14" t="str">
        <x:v>no</x:v>
      </x:c>
      <x:c r="W64" s="14" t="str">
        <x:v>yes</x:v>
      </x:c>
      <x:c r="X64" s="14" t="str">
        <x:v>no</x:v>
      </x:c>
      <x:c r="Y64" s="14"/>
      <x:c r="Z64" s="14" t="str">
        <x:v>Simulating Schwinger model dynamics with quasi-one-dimensional qubit arrays</x:v>
      </x:c>
      <x:c r="AA64" s="14" t="n">
        <x:v>2025</x:v>
      </x:c>
      <x:c r="AB64" s="14" t="str">
        <x:v>2026-06-18</x:v>
      </x:c>
      <x:c r="AC64" s="14" t="str">
        <x:v>https://www.kuleuven.be/wieiswie/en/person/00172999</x:v>
      </x:c>
      <x:c r="AD64" s="14" t="str">
        <x:v>https://arxiv.org/abs/2409.14544</x:v>
      </x:c>
      <x:c r="AE64" s="14"/>
      <x:c r="AF64" s="14"/>
      <x:c r="AG64" s="14" t="str">
        <x:v>Q-018; Q-020; Q-024</x:v>
      </x:c>
      <x:c r="AH64" s="14"/>
      <x:c r="AI64" s="14"/>
      <x:c r="AJ64" s="14"/>
      <x:c r="AK64" s="14" t="str">
        <x:v>Promoted in v1.3. Official KU Leuven profile verifies Lerose as research professor in quantum many-body dynamics and quantum simulation; 2024 paper proposes implementation using a state-of-the-art dual-species Rydberg atom array.</x:v>
      </x:c>
      <x:c r="AL64" s="14" t="str">
        <x:v>Keep in theory/application layer; do not count as experimental hardware site.</x:v>
      </x:c>
    </x:row>
    <x:row r="65">
      <x:c r="A65" s="14" t="str">
        <x:v>E-064</x:v>
      </x:c>
      <x:c r="B65" s="14" t="str">
        <x:v>Wei Zhang / Renmin-BAQIS compact Rb tweezer platform</x:v>
      </x:c>
      <x:c r="C65" s="14" t="str">
        <x:v>academic</x:v>
      </x:c>
      <x:c r="D65" s="14" t="str">
        <x:v>needs_review</x:v>
      </x:c>
      <x:c r="E65" s="14" t="str">
        <x:v>C</x:v>
      </x:c>
      <x:c r="F65" s="14" t="n">
        <x:v>3</x:v>
      </x:c>
      <x:c r="G65" s="14" t="str">
        <x:v>Wei Zhang</x:v>
      </x:c>
      <x:c r="H65" s="14" t="str">
        <x:v>Renmin University of China / BAQIS</x:v>
      </x:c>
      <x:c r="I65" s="14" t="str">
        <x:v>compact 87Rb optical tweezer array setup</x:v>
      </x:c>
      <x:c r="J65" s="14" t="str">
        <x:v>Beijing</x:v>
      </x:c>
      <x:c r="K65" s="14" t="str">
        <x:v>Beijing</x:v>
      </x:c>
      <x:c r="L65" s="14" t="str">
        <x:v>China</x:v>
      </x:c>
      <x:c r="M65" s="14" t="n">
        <x:v>39.9042</x:v>
      </x:c>
      <x:c r="N65" s="14" t="n">
        <x:v>116.4074</x:v>
      </x:c>
      <x:c r="O65" s="14" t="str">
        <x:v>https://arxiv.org/abs/2604.12204</x:v>
      </x:c>
      <x:c r="P65" s="14"/>
      <x:c r="Q65" s="14"/>
      <x:c r="R65" s="14" t="str">
        <x:v>optical_tweezers; Rb; neutral_atom_platform; compact_setup; hardware; adjacent</x:v>
      </x:c>
      <x:c r="S65" s="14" t="str">
        <x:v>Rb</x:v>
      </x:c>
      <x:c r="T65" s="14" t="str">
        <x:v>platform_enabler; optical_tweezer_array; adjacent_to_rydberg_array_work</x:v>
      </x:c>
      <x:c r="U65" s="14" t="str">
        <x:v>yes</x:v>
      </x:c>
      <x:c r="V65" s="14" t="str">
        <x:v>experimental</x:v>
      </x:c>
      <x:c r="W65" s="14" t="str">
        <x:v>no</x:v>
      </x:c>
      <x:c r="X65" s="14" t="str">
        <x:v>no</x:v>
      </x:c>
      <x:c r="Y65" s="14"/>
      <x:c r="Z65" s="14" t="str">
        <x:v>A compact setup for 87Rb optical tweezer arrays</x:v>
      </x:c>
      <x:c r="AA65" s="14" t="n">
        <x:v>2026</x:v>
      </x:c>
      <x:c r="AB65" s="14" t="str">
        <x:v>2026-06-18</x:v>
      </x:c>
      <x:c r="AC65" s="14" t="str">
        <x:v>https://arxiv.org/abs/2604.12204</x:v>
      </x:c>
      <x:c r="AD65" s="14" t="str">
        <x:v>https://arxiv.org/html/2604.12204v1</x:v>
      </x:c>
      <x:c r="AE65" s="14"/>
      <x:c r="AF65" s="14"/>
      <x:c r="AG65" s="14" t="str">
        <x:v>Q-018; Q-020; Q-024</x:v>
      </x:c>
      <x:c r="AH65" s="14"/>
      <x:c r="AI65" s="14"/>
      <x:c r="AJ65" s="14"/>
      <x:c r="AK65" s="14" t="str">
        <x:v>Promoted cautiously in v1.3 as C/adjacent. The 2026 paper demonstrates a compact 25x25 homogeneous 87Rb optical tweezer array, but the cited source does not yet show a Rydberg-core result.</x:v>
      </x:c>
      <x:c r="AL65" s="14" t="str">
        <x:v>Promote only if a later paper connects this setup directly to Rydberg excitation, gates, blockade, or simulation.</x:v>
      </x:c>
    </x:row>
    <x:row r="66">
      <x:c r="A66" t="str">
        <x:v>E-065</x:v>
      </x:c>
      <x:c r="B66" t="str">
        <x:v>Chepiga Rydberg-array quantum-criticality theory node</x:v>
      </x:c>
      <x:c r="C66" t="str">
        <x:v>theory_group</x:v>
      </x:c>
      <x:c r="D66" t="str">
        <x:v>verified</x:v>
      </x:c>
      <x:c r="E66" t="str">
        <x:v>B</x:v>
      </x:c>
      <x:c r="F66" t="n">
        <x:v>4</x:v>
      </x:c>
      <x:c r="G66" t="str">
        <x:v>Natalia Chepiga</x:v>
      </x:c>
      <x:c r="H66" t="str">
        <x:v>Delft University of Technology</x:v>
      </x:c>
      <x:c r="I66" t="str">
        <x:v>Kavli Institute of Nanoscience</x:v>
      </x:c>
      <x:c r="J66" t="str">
        <x:v>Delft</x:v>
      </x:c>
      <x:c r="K66"/>
      <x:c r="L66" t="str">
        <x:v>Netherlands</x:v>
      </x:c>
      <x:c r="M66" t="n">
        <x:v>52.0116</x:v>
      </x:c>
      <x:c r="N66" t="n">
        <x:v>4.3571</x:v>
      </x:c>
      <x:c r="O66" t="str">
        <x:v>https://nchepiga.github.io/homepage/</x:v>
      </x:c>
      <x:c r="P66"/>
      <x:c r="Q66" t="str">
        <x:v>n.chepiga@tudelft.nl</x:v>
      </x:c>
      <x:c r="R66" t="str">
        <x:v>rydberg_array; quantum_criticality; tensor_networks; multispecies; theory; quantum_simulation</x:v>
      </x:c>
      <x:c r="S66" t="str">
        <x:v>generic; Rb/Cs theoretical</x:v>
      </x:c>
      <x:c r="T66" t="str">
        <x:v>criticality; many_body_scars; multispecies_arrays; quantum_simulation_theory</x:v>
      </x:c>
      <x:c r="U66" t="str">
        <x:v>yes</x:v>
      </x:c>
      <x:c r="V66" t="str">
        <x:v>no</x:v>
      </x:c>
      <x:c r="W66" t="str">
        <x:v>yes</x:v>
      </x:c>
      <x:c r="X66" t="str">
        <x:v>no</x:v>
      </x:c>
      <x:c r="Y66"/>
      <x:c r="Z66" t="str">
        <x:v>Tunable Quantum Criticality in Multicomponent Rydberg Arrays; Long-lived revivals and real-space fragmentation in chains of multispecies Rydberg atoms</x:v>
      </x:c>
      <x:c r="AA66" t="n">
        <x:v>2026</x:v>
      </x:c>
      <x:c r="AB66" t="str">
        <x:v>2026-06-18</x:v>
      </x:c>
      <x:c r="AC66" t="str">
        <x:v>https://link.aps.org/doi/10.1103/PhysRevLett.132.076505</x:v>
      </x:c>
      <x:c r="AD66" t="str">
        <x:v>https://arxiv.org/abs/2604.13257</x:v>
      </x:c>
      <x:c r="AE66" t="str">
        <x:v>https://nchepiga.github.io/homepage/assets/CV_Chepiga.pdf</x:v>
      </x:c>
      <x:c r="AF66"/>
      <x:c r="AG66" t="str">
        <x:v>Q-029; Q-030; Q-034</x:v>
      </x:c>
      <x:c r="AH66"/>
      <x:c r="AI66"/>
      <x:c r="AJ66"/>
      <x:c r="AK66" t="str">
        <x:v>Promoted in v1.5. Strong theory node for Rydberg arrays, with explicit PRL and 2026 arXiv activity; TU Delft affiliation confirmed by CV/PRL metadata.</x:v>
      </x:c>
      <x:c r="AL66" t="str">
        <x:v>Add OpenAlex/Semantic Scholar IDs and check if there are experimental collaborators worth separate rows.</x:v>
      </x:c>
    </x:row>
    <x:row r="67">
      <x:c r="A67" t="str">
        <x:v>E-066</x:v>
      </x:c>
      <x:c r="B67" t="str">
        <x:v>Mathey theory of atoms and solids Rydberg-tweezer node</x:v>
      </x:c>
      <x:c r="C67" t="str">
        <x:v>theory_group</x:v>
      </x:c>
      <x:c r="D67" t="str">
        <x:v>verified</x:v>
      </x:c>
      <x:c r="E67" t="str">
        <x:v>B</x:v>
      </x:c>
      <x:c r="F67" t="n">
        <x:v>4</x:v>
      </x:c>
      <x:c r="G67" t="str">
        <x:v>Ludwig Mathey</x:v>
      </x:c>
      <x:c r="H67" t="str">
        <x:v>University of Hamburg</x:v>
      </x:c>
      <x:c r="I67" t="str">
        <x:v>Institute for Quantum Physics / Theory of Atoms and Solids</x:v>
      </x:c>
      <x:c r="J67" t="str">
        <x:v>Hamburg</x:v>
      </x:c>
      <x:c r="K67"/>
      <x:c r="L67" t="str">
        <x:v>Germany</x:v>
      </x:c>
      <x:c r="M67" t="n">
        <x:v>53.5511</x:v>
      </x:c>
      <x:c r="N67" t="n">
        <x:v>9.9937</x:v>
      </x:c>
      <x:c r="O67" t="str">
        <x:v>https://www.physik.uni-hamburg.de/en/iqp/mathey.html</x:v>
      </x:c>
      <x:c r="P67"/>
      <x:c r="Q67"/>
      <x:c r="R67" t="str">
        <x:v>rydberg_array; optical_tweezers; lamb_dicke; motional_dynamics; theory; quantum_gates</x:v>
      </x:c>
      <x:c r="S67" t="str">
        <x:v>generic</x:v>
      </x:c>
      <x:c r="T67" t="str">
        <x:v>spin_motion; lamb_dicke_dynamics; rydberg_gates; quantum_simulation_theory</x:v>
      </x:c>
      <x:c r="U67" t="str">
        <x:v>yes</x:v>
      </x:c>
      <x:c r="V67" t="str">
        <x:v>no</x:v>
      </x:c>
      <x:c r="W67" t="str">
        <x:v>yes</x:v>
      </x:c>
      <x:c r="X67" t="str">
        <x:v>no</x:v>
      </x:c>
      <x:c r="Y67"/>
      <x:c r="Z67" t="str">
        <x:v>Lamb-Dicke Dynamics of Interacting Rydberg Atoms Coupled to the Motion of an Optical Tweezer Array</x:v>
      </x:c>
      <x:c r="AA67" t="n">
        <x:v>2025</x:v>
      </x:c>
      <x:c r="AB67" t="str">
        <x:v>2026-06-18</x:v>
      </x:c>
      <x:c r="AC67" t="str">
        <x:v>https://arxiv.org/abs/2506.22669</x:v>
      </x:c>
      <x:c r="AD67" t="str">
        <x:v>https://www.physik.uni-hamburg.de/en/iqp/mathey.html</x:v>
      </x:c>
      <x:c r="AE67"/>
      <x:c r="AF67"/>
      <x:c r="AG67" t="str">
        <x:v>Q-029; Q-033; Q-037</x:v>
      </x:c>
      <x:c r="AH67"/>
      <x:c r="AI67"/>
      <x:c r="AJ67"/>
      <x:c r="AK67" t="str">
        <x:v>Promoted in v1.5 as a direct theory node because the 2025 paper explicitly treats interacting Rydberg atoms in optical-tweezer arrays and official page confirms Hamburg affiliation.</x:v>
      </x:c>
      <x:c r="AL67" t="str">
        <x:v>Classify as theory-only unless hardware collaboration appears.</x:v>
      </x:c>
    </x:row>
    <x:row r="68">
      <x:c r="A68" t="str">
        <x:v>E-067</x:v>
      </x:c>
      <x:c r="B68" t="str">
        <x:v>Qi-Yu Liang quantum-level light-matter interactions lab</x:v>
      </x:c>
      <x:c r="C68" t="str">
        <x:v>academic</x:v>
      </x:c>
      <x:c r="D68" t="str">
        <x:v>needs_review</x:v>
      </x:c>
      <x:c r="E68" t="str">
        <x:v>B</x:v>
      </x:c>
      <x:c r="F68" t="n">
        <x:v>4</x:v>
      </x:c>
      <x:c r="G68" t="str">
        <x:v>Qi-Yu (Grace) Liang</x:v>
      </x:c>
      <x:c r="H68" t="str">
        <x:v>Purdue University</x:v>
      </x:c>
      <x:c r="I68" t="str">
        <x:v>Department of Physics and Astronomy</x:v>
      </x:c>
      <x:c r="J68" t="str">
        <x:v>West Lafayette</x:v>
      </x:c>
      <x:c r="K68" t="str">
        <x:v>IN</x:v>
      </x:c>
      <x:c r="L68" t="str">
        <x:v>United States</x:v>
      </x:c>
      <x:c r="M68" t="n">
        <x:v>40.4237</x:v>
      </x:c>
      <x:c r="N68" t="n">
        <x:v>-86.9212</x:v>
      </x:c>
      <x:c r="O68" t="str">
        <x:v>https://sites.google.com/view/qiyuliang</x:v>
      </x:c>
      <x:c r="P68"/>
      <x:c r="Q68" t="str">
        <x:v>qyliang@purdue.edu</x:v>
      </x:c>
      <x:c r="R68" t="str">
        <x:v>rydberg_arrays; optical_tweezers; ultrafast_rydberg; quantum_optics; facilitation; experimental</x:v>
      </x:c>
      <x:c r="S68" t="str">
        <x:v>Rb?; unknown</x:v>
      </x:c>
      <x:c r="T68" t="str">
        <x:v>ultrafast_rydberg; robust_facilitation; quantum_dynamics; array_experiments</x:v>
      </x:c>
      <x:c r="U68" t="str">
        <x:v>unclear</x:v>
      </x:c>
      <x:c r="V68" t="str">
        <x:v>experimental</x:v>
      </x:c>
      <x:c r="W68" t="str">
        <x:v>mixed</x:v>
      </x:c>
      <x:c r="X68" t="str">
        <x:v>no</x:v>
      </x:c>
      <x:c r="Y68"/>
      <x:c r="Z68" t="str">
        <x:v>Robust Rydberg facilitation via rapid adiabatic passage; Quantum Dynamics in Rydberg Atom Arrays</x:v>
      </x:c>
      <x:c r="AA68" t="n">
        <x:v>2026</x:v>
      </x:c>
      <x:c r="AB68" t="str">
        <x:v>2026-06-18</x:v>
      </x:c>
      <x:c r="AC68" t="str">
        <x:v>https://link.aps.org/doi/10.1103/23x7-g2h6</x:v>
      </x:c>
      <x:c r="AD68" t="str">
        <x:v>https://quantum.research.purdue.edu/directory/qi-yu-grace-liang/</x:v>
      </x:c>
      <x:c r="AE68" t="str">
        <x:v>https://sites.google.com/view/qiyuliang</x:v>
      </x:c>
      <x:c r="AF68"/>
      <x:c r="AG68" t="str">
        <x:v>Q-029; Q-034; Q-038</x:v>
      </x:c>
      <x:c r="AH68"/>
      <x:c r="AI68"/>
      <x:c r="AJ68"/>
      <x:c r="AK68" t="str">
        <x:v>Promoted cautiously in v1.5. Purdue official directory confirms PI/affiliation; recent PRL/AIP result is explicitly Rydberg facilitation and references compatibility with existing optical-tweezer platforms, but the lab's own tweezer-array hardware still needs confirmation.</x:v>
      </x:c>
      <x:c r="AL68" t="str">
        <x:v>Check whether Purdue lab operates a Rydberg optical-tweezer array or primarily works on ultrafast Rydberg/QO adjacent platforms.</x:v>
      </x:c>
    </x:row>
    <x:row r="69">
      <x:c r="A69" t="str">
        <x:v>E-068</x:v>
      </x:c>
      <x:c r="B69" t="str">
        <x:v>Jing Qian Rydberg-dressed atom-array theory node</x:v>
      </x:c>
      <x:c r="C69" t="str">
        <x:v>theory_group</x:v>
      </x:c>
      <x:c r="D69" t="str">
        <x:v>verified</x:v>
      </x:c>
      <x:c r="E69" t="str">
        <x:v>B</x:v>
      </x:c>
      <x:c r="F69" t="n">
        <x:v>4</x:v>
      </x:c>
      <x:c r="G69" t="str">
        <x:v>Jing Qian</x:v>
      </x:c>
      <x:c r="H69" t="str">
        <x:v>East China Normal University</x:v>
      </x:c>
      <x:c r="I69" t="str">
        <x:v>School of Physics and Electronic Science / Chongqing Institute of ECNU</x:v>
      </x:c>
      <x:c r="J69" t="str">
        <x:v>Shanghai / Chongqing</x:v>
      </x:c>
      <x:c r="K69"/>
      <x:c r="L69" t="str">
        <x:v>China</x:v>
      </x:c>
      <x:c r="M69" t="n">
        <x:v>31.2304</x:v>
      </x:c>
      <x:c r="N69" t="n">
        <x:v>121.4737</x:v>
      </x:c>
      <x:c r="O69" t="str">
        <x:v>https://link.springer.com/article/10.1007/s44214-025-00078-4</x:v>
      </x:c>
      <x:c r="P69"/>
      <x:c r="Q69" t="str">
        <x:v>jqian@phy.ecnu.edu.cn</x:v>
      </x:c>
      <x:c r="R69" t="str">
        <x:v>rydberg_dressed_arrays; optimal_control; excitation_transport; theory; quantum_simulation</x:v>
      </x:c>
      <x:c r="S69" t="str">
        <x:v>generic</x:v>
      </x:c>
      <x:c r="T69" t="str">
        <x:v>rydberg_dressed_transport; optimal_control; spin_exchange; many_body_dynamics</x:v>
      </x:c>
      <x:c r="U69" t="str">
        <x:v>unclear</x:v>
      </x:c>
      <x:c r="V69" t="str">
        <x:v>no</x:v>
      </x:c>
      <x:c r="W69" t="str">
        <x:v>yes</x:v>
      </x:c>
      <x:c r="X69" t="str">
        <x:v>no</x:v>
      </x:c>
      <x:c r="Y69"/>
      <x:c r="Z69" t="str">
        <x:v>Quantum-preserved transport of excitations in Rydberg-dressed atom arrays</x:v>
      </x:c>
      <x:c r="AA69" t="n">
        <x:v>2025</x:v>
      </x:c>
      <x:c r="AB69" t="str">
        <x:v>2026-06-18</x:v>
      </x:c>
      <x:c r="AC69" t="str">
        <x:v>https://arxiv.org/abs/2503.07672</x:v>
      </x:c>
      <x:c r="AD69" t="str">
        <x:v>https://link.springer.com/article/10.1007/s44214-025-00078-4</x:v>
      </x:c>
      <x:c r="AE69" t="str">
        <x:v>https://pmc.ncbi.nlm.nih.gov/articles/PMC8528933/</x:v>
      </x:c>
      <x:c r="AF69"/>
      <x:c r="AG69" t="str">
        <x:v>Q-030; Q-034; Q-039</x:v>
      </x:c>
      <x:c r="AH69"/>
      <x:c r="AI69"/>
      <x:c r="AJ69"/>
      <x:c r="AK69" t="str">
        <x:v>Promoted in v1.5 as a theory node. 2025 paper is directly about Rydberg-dressed atom arrays; publisher page lists Jing Qian at ECNU/Chongqing Institute of ECNU.</x:v>
      </x:c>
      <x:c r="AL69" t="str">
        <x:v>Keep B/theory unless future papers show direct optical-tweezer experimental collaboration.</x:v>
      </x:c>
    </x:row>
    <x:row r="70">
      <x:c r="A70" t="str">
        <x:v>E-069</x:v>
      </x:c>
      <x:c r="B70" t="str">
        <x:v>KAT-1 / Dutch Sr Rydberg optical-tweezer QPU ecosystem</x:v>
      </x:c>
      <x:c r="C70" t="str">
        <x:v>academic</x:v>
      </x:c>
      <x:c r="D70" t="str">
        <x:v>verified</x:v>
      </x:c>
      <x:c r="E70" t="str">
        <x:v>B</x:v>
      </x:c>
      <x:c r="F70" t="n">
        <x:v>4</x:v>
      </x:c>
      <x:c r="G70" t="str">
        <x:v>Florian Schreck; Robert J. C. Spreeuw; Eindhoven/Amsterdam collaborators</x:v>
      </x:c>
      <x:c r="H70" t="str">
        <x:v>Eindhoven University of Technology / University of Amsterdam / QuantumDelta NL</x:v>
      </x:c>
      <x:c r="I70" t="str">
        <x:v>KAT-1 / Quantum Inspire neutral-atom QPU</x:v>
      </x:c>
      <x:c r="J70" t="str">
        <x:v>Eindhoven / Amsterdam</x:v>
      </x:c>
      <x:c r="K70"/>
      <x:c r="L70" t="str">
        <x:v>Netherlands</x:v>
      </x:c>
      <x:c r="M70" t="n">
        <x:v>51.4416</x:v>
      </x:c>
      <x:c r="N70" t="n">
        <x:v>5.4697</x:v>
      </x:c>
      <x:c r="O70" t="str">
        <x:v>https://research.tue.nl/en/activities/neutral-atoms-in-tweezer-arrays-for-hybrid-rydberg-quantum-comput/</x:v>
      </x:c>
      <x:c r="P70"/>
      <x:c r="Q70"/>
      <x:c r="R70" t="str">
        <x:v>strontium; optical_tweezers; rydberg_array; quantum_processor; quantum_inspire; fractal_geometry</x:v>
      </x:c>
      <x:c r="S70" t="str">
        <x:v>Sr</x:v>
      </x:c>
      <x:c r="T70" t="str">
        <x:v>rydberg_QPU; quantum_simulation; fractal_arrays; spin_models; platform_buildout</x:v>
      </x:c>
      <x:c r="U70" t="str">
        <x:v>yes</x:v>
      </x:c>
      <x:c r="V70" t="str">
        <x:v>mixed</x:v>
      </x:c>
      <x:c r="W70" t="str">
        <x:v>mixed</x:v>
      </x:c>
      <x:c r="X70" t="str">
        <x:v>no</x:v>
      </x:c>
      <x:c r="Y70"/>
      <x:c r="Z70" t="str">
        <x:v>Neutral atoms in tweezer arrays for hybrid Rydberg quantum computing; Control of single spin-flips in a Rydberg atomic fractal</x:v>
      </x:c>
      <x:c r="AA70" t="n">
        <x:v>2025</x:v>
      </x:c>
      <x:c r="AB70" t="str">
        <x:v>2026-06-18</x:v>
      </x:c>
      <x:c r="AC70" t="str">
        <x:v>https://research.tue.nl/en/activities/neutral-atoms-in-tweezer-arrays-for-hybrid-rydberg-quantum-comput/</x:v>
      </x:c>
      <x:c r="AD70" t="str">
        <x:v>https://arxiv.org/abs/2509.03514</x:v>
      </x:c>
      <x:c r="AE70" t="str">
        <x:v>https://iop.uva.nl/content/research-groups/qgqi/publications/publications.html</x:v>
      </x:c>
      <x:c r="AF70"/>
      <x:c r="AG70" t="str">
        <x:v>Q-031; Q-035; Q-040</x:v>
      </x:c>
      <x:c r="AH70"/>
      <x:c r="AI70"/>
      <x:c r="AJ70"/>
      <x:c r="AK70" t="str">
        <x:v>Promoted in v1.5 as a Dutch ecosystem node. TU/e activity page explicitly states a Sr 2D optical-tweezer QPU with Rydberg excitations; 2025 arXiv reports experiments with single 88Sr atoms in optical tweezers arranged in fractal geometry.</x:v>
      </x:c>
      <x:c r="AL70" t="str">
        <x:v>Later split into separate UvA/QGQI and TU/e KAT-1 rows if source mapping becomes clean enough.</x:v>
      </x:c>
    </x:row>
    <x:row r="71">
      <x:c r="A71" t="str">
        <x:v>E-070</x:v>
      </x:c>
      <x:c r="B71" t="str">
        <x:v>Circular Rydberg atoms in optical tweezers / LKB-ENS-College de France</x:v>
      </x:c>
      <x:c r="C71" t="str">
        <x:v>academic</x:v>
      </x:c>
      <x:c r="D71" t="str">
        <x:v>verified</x:v>
      </x:c>
      <x:c r="E71" t="str">
        <x:v>B</x:v>
      </x:c>
      <x:c r="F71" t="n">
        <x:v>4</x:v>
      </x:c>
      <x:c r="G71" t="str">
        <x:v>Michel Brune; Clément Sayrin; Jean-Michel Raimond; David J. Papoular</x:v>
      </x:c>
      <x:c r="H71" t="str">
        <x:v>Laboratoire Kastler Brossel / ENS / Collège de France / Sorbonne Université</x:v>
      </x:c>
      <x:c r="I71" t="str">
        <x:v>Circular Rydberg atoms in optical tweezers</x:v>
      </x:c>
      <x:c r="J71" t="str">
        <x:v>Paris</x:v>
      </x:c>
      <x:c r="K71" t="str">
        <x:v>Île-de-France</x:v>
      </x:c>
      <x:c r="L71" t="str">
        <x:v>France</x:v>
      </x:c>
      <x:c r="M71" t="n">
        <x:v>48.8566</x:v>
      </x:c>
      <x:c r="N71" t="n">
        <x:v>2.3522</x:v>
      </x:c>
      <x:c r="O71" t="str">
        <x:v>https://arxiv.org/abs/2407.04109</x:v>
      </x:c>
      <x:c r="P71"/>
      <x:c r="Q71"/>
      <x:c r="R71" t="str">
        <x:v>circular_rydberg; optical_tweezers; dipole_dipole_interactions; spin_motion; quantum_simulation_adjacent</x:v>
      </x:c>
      <x:c r="S71" t="str">
        <x:v>Rb?; circular Rydberg atoms</x:v>
      </x:c>
      <x:c r="T71" t="str">
        <x:v>circular_rydberg_interactions; spin_motion_coupling; long_lived_rydberg_qubits</x:v>
      </x:c>
      <x:c r="U71" t="str">
        <x:v>yes</x:v>
      </x:c>
      <x:c r="V71" t="str">
        <x:v>experimental</x:v>
      </x:c>
      <x:c r="W71" t="str">
        <x:v>mixed</x:v>
      </x:c>
      <x:c r="X71" t="str">
        <x:v>no</x:v>
      </x:c>
      <x:c r="Y71"/>
      <x:c r="Z71" t="str">
        <x:v>Interacting Circular Rydberg Atoms Trapped in Optical Tweezers; Probing spin-motion coupling of two Rydberg atoms</x:v>
      </x:c>
      <x:c r="AA71" t="n">
        <x:v>2025</x:v>
      </x:c>
      <x:c r="AB71" t="str">
        <x:v>2026-06-18</x:v>
      </x:c>
      <x:c r="AC71" t="str">
        <x:v>https://arxiv.org/abs/2407.04109</x:v>
      </x:c>
      <x:c r="AD71" t="str">
        <x:v>https://arxiv.org/html/2508.08899v2</x:v>
      </x:c>
      <x:c r="AE71" t="str">
        <x:v>https://www.normalesup.org/~papoular/publis/papoular_PRXQ_2025.pdf</x:v>
      </x:c>
      <x:c r="AF71"/>
      <x:c r="AG71" t="str">
        <x:v>Q-032; Q-036; Q-041</x:v>
      </x:c>
      <x:c r="AH71"/>
      <x:c r="AI71"/>
      <x:c r="AJ71"/>
      <x:c r="AK71" t="str">
        <x:v>Promoted in v1.5 as a relevant circular-Rydberg tweezer node. It is not a standard ground-state neutral-atom array processor, but it is directly Rydberg + optical tweezers + interacting atoms.</x:v>
      </x:c>
      <x:c r="AL71" t="str">
        <x:v>Decide later whether circular Rydberg should be its own map layer rather than mixed with alkali/alkaline-earth array processors.</x:v>
      </x:c>
    </x:row>
    <x:row r="72">
      <x:c r="A72" s="14" t="str">
        <x:v>E-071</x:v>
      </x:c>
      <x:c r="B72" s="14" t="str">
        <x:v>Pollet Rydberg-tweezer supersolidity theory node</x:v>
      </x:c>
      <x:c r="C72" s="14" t="str">
        <x:v>theory_group</x:v>
      </x:c>
      <x:c r="D72" s="14" t="str">
        <x:v>verified</x:v>
      </x:c>
      <x:c r="E72" s="14" t="str">
        <x:v>B</x:v>
      </x:c>
      <x:c r="F72" s="14" t="n">
        <x:v>4</x:v>
      </x:c>
      <x:c r="G72" s="14" t="str">
        <x:v>Lode Pollet</x:v>
      </x:c>
      <x:c r="H72" s="14" t="str">
        <x:v>Ludwig-Maximilians-Universität München (LMU Munich)</x:v>
      </x:c>
      <x:c r="I72" s="14" t="str">
        <x:v>Faculty of Physics / Theoretical Nanophysics</x:v>
      </x:c>
      <x:c r="J72" s="14" t="str">
        <x:v>Munich</x:v>
      </x:c>
      <x:c r="K72" s="14" t="str">
        <x:v>Bavaria</x:v>
      </x:c>
      <x:c r="L72" s="14" t="str">
        <x:v>Germany</x:v>
      </x:c>
      <x:c r="M72" s="14" t="n">
        <x:v>48.1351</x:v>
      </x:c>
      <x:c r="N72" s="14" t="n">
        <x:v>11.582</x:v>
      </x:c>
      <x:c r="O72" s="14" t="str">
        <x:v>https://www.theorie.physik.uni-muenchen.de/lsschollwoeck/people/professors/pollet/index.html</x:v>
      </x:c>
      <x:c r="P72" s="14"/>
      <x:c r="Q72" s="14"/>
      <x:c r="R72" s="14" t="str">
        <x:v>rydberg_tweezer_arrays; quantum_simulation; supersolidity; quantum_monte_carlo; theory</x:v>
      </x:c>
      <x:c r="S72" s="14" t="str">
        <x:v>Rb; generic Rydberg</x:v>
      </x:c>
      <x:c r="T72" s="14" t="str">
        <x:v>analog_simulation; supersolidity; extended_hubbard; theory</x:v>
      </x:c>
      <x:c r="U72" s="14" t="str">
        <x:v>yes</x:v>
      </x:c>
      <x:c r="V72" s="14" t="str">
        <x:v>no</x:v>
      </x:c>
      <x:c r="W72" s="14" t="str">
        <x:v>theory</x:v>
      </x:c>
      <x:c r="X72" s="14" t="str">
        <x:v>no</x:v>
      </x:c>
      <x:c r="Y72" s="14"/>
      <x:c r="Z72" s="14" t="str">
        <x:v>Supersolidity in Rydberg tweezer arrays</x:v>
      </x:c>
      <x:c r="AA72" s="14" t="n">
        <x:v>2025</x:v>
      </x:c>
      <x:c r="AB72" s="14" t="str">
        <x:v>2026-06-18</x:v>
      </x:c>
      <x:c r="AC72" s="14" t="str">
        <x:v>https://arxiv.org/abs/2407.12752</x:v>
      </x:c>
      <x:c r="AD72" s="14" t="str">
        <x:v>https://link.aps.org/doi/10.1103/PhysRevA.111.L011305</x:v>
      </x:c>
      <x:c r="AE72" s="14" t="str">
        <x:v>https://www.theorie.physik.uni-muenchen.de/lsschollwoeck/people/professors/pollet/index.html</x:v>
      </x:c>
      <x:c r="AF72" s="14"/>
      <x:c r="AG72" s="14" t="str">
        <x:v>Q-053</x:v>
      </x:c>
      <x:c r="AH72" s="14"/>
      <x:c r="AI72" s="14"/>
      <x:c r="AJ72" s="14"/>
      <x:c r="AK72" s="14" t="str">
        <x:v>Promoted in v1.7 from v1.6 paper layer. Strong theory node connected to Browaeys/Geier experimental feasibility context; not an experimental hardware group.</x:v>
      </x:c>
      <x:c r="AL72" s="14" t="str">
        <x:v>Later link to all Rydberg-array and QMC papers from the group.</x:v>
      </x:c>
    </x:row>
    <x:row r="73">
      <x:c r="A73" s="14" t="str">
        <x:v>E-072</x:v>
      </x:c>
      <x:c r="B73" s="14" t="str">
        <x:v>Scarola Rydberg-array analogue simulation theory node</x:v>
      </x:c>
      <x:c r="C73" s="14" t="str">
        <x:v>theory_group</x:v>
      </x:c>
      <x:c r="D73" s="14" t="str">
        <x:v>verified</x:v>
      </x:c>
      <x:c r="E73" s="14" t="str">
        <x:v>B</x:v>
      </x:c>
      <x:c r="F73" s="14" t="n">
        <x:v>4</x:v>
      </x:c>
      <x:c r="G73" s="14" t="str">
        <x:v>Vito W. Scarola</x:v>
      </x:c>
      <x:c r="H73" s="14" t="str">
        <x:v>Virginia Tech</x:v>
      </x:c>
      <x:c r="I73" s="14" t="str">
        <x:v>Department of Physics</x:v>
      </x:c>
      <x:c r="J73" s="14" t="str">
        <x:v>Blacksburg</x:v>
      </x:c>
      <x:c r="K73" s="14" t="str">
        <x:v>VA</x:v>
      </x:c>
      <x:c r="L73" s="14" t="str">
        <x:v>United States</x:v>
      </x:c>
      <x:c r="M73" s="14" t="n">
        <x:v>37.2296</x:v>
      </x:c>
      <x:c r="N73" s="14" t="n">
        <x:v>-80.4139</x:v>
      </x:c>
      <x:c r="O73" s="14" t="str">
        <x:v>https://scarola.phys.vt.edu/</x:v>
      </x:c>
      <x:c r="P73" s="14"/>
      <x:c r="Q73" s="14"/>
      <x:c r="R73" s="14" t="str">
        <x:v>rydberg_atom_arrays; optical_tweezers; quantum_simulation; supersymmetry; theory</x:v>
      </x:c>
      <x:c r="S73" s="14" t="str">
        <x:v>generic Rydberg</x:v>
      </x:c>
      <x:c r="T73" s="14" t="str">
        <x:v>analog_simulation; many_body_theory; supersymmetry; architecture</x:v>
      </x:c>
      <x:c r="U73" s="14" t="str">
        <x:v>yes</x:v>
      </x:c>
      <x:c r="V73" s="14" t="str">
        <x:v>no</x:v>
      </x:c>
      <x:c r="W73" s="14" t="str">
        <x:v>theory</x:v>
      </x:c>
      <x:c r="X73" s="14" t="str">
        <x:v>no</x:v>
      </x:c>
      <x:c r="Y73" s="14"/>
      <x:c r="Z73" s="14" t="str">
        <x:v>Toward Quantum Analogue Simulation of Many-Body Supersymmetry with Rydberg Atom Arrays</x:v>
      </x:c>
      <x:c r="AA73" s="14" t="n">
        <x:v>2025</x:v>
      </x:c>
      <x:c r="AB73" s="14" t="str">
        <x:v>2026-06-18</x:v>
      </x:c>
      <x:c r="AC73" s="14" t="str">
        <x:v>https://arxiv.org/abs/2405.21073</x:v>
      </x:c>
      <x:c r="AD73" s="14" t="str">
        <x:v>https://scarola.phys.vt.edu/</x:v>
      </x:c>
      <x:c r="AE73" s="14"/>
      <x:c r="AF73" s="14"/>
      <x:c r="AG73" s="14" t="str">
        <x:v>Q-056</x:v>
      </x:c>
      <x:c r="AH73" s="14"/>
      <x:c r="AI73" s="14"/>
      <x:c r="AJ73" s="14"/>
      <x:c r="AK73" s="14" t="str">
        <x:v>Promoted in v1.7 as a theory/simulation node. The paper is explicitly motivated by Rydberg atoms in optical tweezer arrays.</x:v>
      </x:c>
      <x:c r="AL73" s="14" t="str">
        <x:v>Check whether collaborators should create a separate node or remain paper-level.</x:v>
      </x:c>
    </x:row>
    <x:row r="74">
      <x:c r="A74" s="14" t="str">
        <x:v>E-073</x:v>
      </x:c>
      <x:c r="B74" s="14" t="str">
        <x:v>Vutha Rydberg-tweezer dark-matter sensing proposal node</x:v>
      </x:c>
      <x:c r="C74" s="14" t="str">
        <x:v>academic</x:v>
      </x:c>
      <x:c r="D74" s="14" t="str">
        <x:v>verified</x:v>
      </x:c>
      <x:c r="E74" s="14" t="str">
        <x:v>C</x:v>
      </x:c>
      <x:c r="F74" s="14" t="n">
        <x:v>2</x:v>
      </x:c>
      <x:c r="G74" s="14" t="str">
        <x:v>Amar C. Vutha</x:v>
      </x:c>
      <x:c r="H74" s="14" t="str">
        <x:v>University of Toronto</x:v>
      </x:c>
      <x:c r="I74" s="14" t="str">
        <x:v>Department of Physics</x:v>
      </x:c>
      <x:c r="J74" s="14" t="str">
        <x:v>Toronto</x:v>
      </x:c>
      <x:c r="K74" s="14" t="str">
        <x:v>Ontario</x:v>
      </x:c>
      <x:c r="L74" s="14" t="str">
        <x:v>Canada</x:v>
      </x:c>
      <x:c r="M74" s="14" t="n">
        <x:v>43.6629</x:v>
      </x:c>
      <x:c r="N74" s="14" t="n">
        <x:v>-79.3957</x:v>
      </x:c>
      <x:c r="O74" s="14" t="str">
        <x:v>https://www.physics.utoronto.ca/~vutha/</x:v>
      </x:c>
      <x:c r="P74" s="14"/>
      <x:c r="Q74" s="14"/>
      <x:c r="R74" s="14" t="str">
        <x:v>rydberg_tweezer_arrays; sensing; dark_matter; microwave_electrometry_adjacent</x:v>
      </x:c>
      <x:c r="S74" s="14" t="str">
        <x:v>generic Rydberg</x:v>
      </x:c>
      <x:c r="T74" s="14" t="str">
        <x:v>sensing; dark_matter_detection; adjacent_metrology</x:v>
      </x:c>
      <x:c r="U74" s="14" t="str">
        <x:v>yes</x:v>
      </x:c>
      <x:c r="V74" s="14" t="str">
        <x:v>proposal/theory</x:v>
      </x:c>
      <x:c r="W74" s="14" t="str">
        <x:v>mixed</x:v>
      </x:c>
      <x:c r="X74" s="14" t="str">
        <x:v>no</x:v>
      </x:c>
      <x:c r="Y74" s="14"/>
      <x:c r="Z74" s="14" t="str">
        <x:v>Detecting dark matter using optically trapped Rydberg atom tweezer arrays</x:v>
      </x:c>
      <x:c r="AA74" s="14" t="n">
        <x:v>2026</x:v>
      </x:c>
      <x:c r="AB74" s="14" t="str">
        <x:v>2026-06-18</x:v>
      </x:c>
      <x:c r="AC74" s="14" t="str">
        <x:v>https://arxiv.org/abs/2507.12860</x:v>
      </x:c>
      <x:c r="AD74" s="14" t="str">
        <x:v>https://link.aps.org/doi/10.1103/s41f-6nw2</x:v>
      </x:c>
      <x:c r="AE74" s="14" t="str">
        <x:v>https://www.physics.utoronto.ca/~vutha/</x:v>
      </x:c>
      <x:c r="AF74" s="14"/>
      <x:c r="AG74" s="14" t="str">
        <x:v>Q-055</x:v>
      </x:c>
      <x:c r="AH74" s="14"/>
      <x:c r="AI74" s="14"/>
      <x:c r="AJ74" s="14"/>
      <x:c r="AK74" s="14" t="str">
        <x:v>Promoted in v1.7 as adjacent sensing/metrology. Relevant to Rydberg atoms in optical tweezer arrays, but not a neutral-atom QC/simulation platform node.</x:v>
      </x:c>
      <x:c r="AL74" s="14" t="str">
        <x:v>Decide later whether public map has a visible sensing/metrology layer.</x:v>
      </x:c>
    </x:row>
    <x:row r="75">
      <x:c r="A75" s="14" t="str">
        <x:v>E-074</x:v>
      </x:c>
      <x:c r="B75" s="14" t="str">
        <x:v>Yunoki computational quantum matter Rydberg-tweezer control node</x:v>
      </x:c>
      <x:c r="C75" s="14" t="str">
        <x:v>theory_group</x:v>
      </x:c>
      <x:c r="D75" s="14" t="str">
        <x:v>verified</x:v>
      </x:c>
      <x:c r="E75" s="14" t="str">
        <x:v>B</x:v>
      </x:c>
      <x:c r="F75" s="14" t="n">
        <x:v>4</x:v>
      </x:c>
      <x:c r="G75" s="14" t="str">
        <x:v>Seiji Yunoki</x:v>
      </x:c>
      <x:c r="H75" s="14" t="str">
        <x:v>RIKEN</x:v>
      </x:c>
      <x:c r="I75" s="14" t="str">
        <x:v>Center for Computational Science / Center for Emergent Matter Science / Center for Quantum Computing</x:v>
      </x:c>
      <x:c r="J75" s="14" t="str">
        <x:v>Wako</x:v>
      </x:c>
      <x:c r="K75" s="14" t="str">
        <x:v>Saitama</x:v>
      </x:c>
      <x:c r="L75" s="14" t="str">
        <x:v>Japan</x:v>
      </x:c>
      <x:c r="M75" s="14" t="n">
        <x:v>35.7813</x:v>
      </x:c>
      <x:c r="N75" s="14" t="n">
        <x:v>139.6135</x:v>
      </x:c>
      <x:c r="O75" s="14" t="str">
        <x:v>https://cems.riken.jp/laboratory/cqmrt</x:v>
      </x:c>
      <x:c r="P75" s="14"/>
      <x:c r="Q75" s="14"/>
      <x:c r="R75" s="14" t="str">
        <x:v>rydberg_tweezer_arrays; pulse_optimization; variational_algorithms; many_body_theory</x:v>
      </x:c>
      <x:c r="S75" s="14" t="str">
        <x:v>generic Rydberg</x:v>
      </x:c>
      <x:c r="T75" s="14" t="str">
        <x:v>control; pulse_optimization; analog_vqe; theory</x:v>
      </x:c>
      <x:c r="U75" s="14" t="str">
        <x:v>yes</x:v>
      </x:c>
      <x:c r="V75" s="14" t="str">
        <x:v>no</x:v>
      </x:c>
      <x:c r="W75" s="14" t="str">
        <x:v>theory</x:v>
      </x:c>
      <x:c r="X75" s="14" t="str">
        <x:v>no</x:v>
      </x:c>
      <x:c r="Y75" s="14"/>
      <x:c r="Z75" s="14" t="str">
        <x:v>Pulse-based optimization of quantum many-body states with Rydberg atoms in optical tweezer arrays</x:v>
      </x:c>
      <x:c r="AA75" s="14" t="n">
        <x:v>2025</x:v>
      </x:c>
      <x:c r="AB75" s="14" t="str">
        <x:v>2026-06-18</x:v>
      </x:c>
      <x:c r="AC75" s="14" t="str">
        <x:v>https://arxiv.org/abs/2507.19153</x:v>
      </x:c>
      <x:c r="AD75" s="14" t="str">
        <x:v>https://cems.riken.jp/laboratory/cqmrt</x:v>
      </x:c>
      <x:c r="AE75" s="14" t="str">
        <x:v>https://www.riken.jp/en/research/labs/r-ccs/comput_mater_sci/index.html</x:v>
      </x:c>
      <x:c r="AF75" s="14"/>
      <x:c r="AG75" s="14" t="str">
        <x:v>Q-057</x:v>
      </x:c>
      <x:c r="AH75" s="14"/>
      <x:c r="AI75" s="14"/>
      <x:c r="AJ75" s="14"/>
      <x:c r="AK75" s="14" t="str">
        <x:v>Promoted in v1.7. Useful theory/control node for pulse-level and hybrid analog/digital algorithms on Rydberg tweezer arrays.</x:v>
      </x:c>
      <x:c r="AL75" s="14" t="str">
        <x:v>Resolve whether Alexandre Dauphin or other coauthors deserve a separate algorithm/software node.</x:v>
      </x:c>
    </x:row>
    <x:row r="76">
      <x:c r="A76" s="14" t="str">
        <x:v>E-075</x:v>
      </x:c>
      <x:c r="B76" s="14" t="str">
        <x:v>Hofferberth magic-trapping Rydberg enabling-physics node</x:v>
      </x:c>
      <x:c r="C76" s="14" t="str">
        <x:v>academic</x:v>
      </x:c>
      <x:c r="D76" s="14" t="str">
        <x:v>verified</x:v>
      </x:c>
      <x:c r="E76" s="14" t="str">
        <x:v>C</x:v>
      </x:c>
      <x:c r="F76" s="14" t="n">
        <x:v>3</x:v>
      </x:c>
      <x:c r="G76" s="14" t="str">
        <x:v>Sebastian Hofferberth</x:v>
      </x:c>
      <x:c r="H76" s="14" t="str">
        <x:v>University of Bonn</x:v>
      </x:c>
      <x:c r="I76" s="14" t="str">
        <x:v>Institute of Applied Physics / Nonlinear Quantum Optics</x:v>
      </x:c>
      <x:c r="J76" s="14" t="str">
        <x:v>Bonn</x:v>
      </x:c>
      <x:c r="K76" s="14" t="str">
        <x:v>North Rhine-Westphalia</x:v>
      </x:c>
      <x:c r="L76" s="14" t="str">
        <x:v>Germany</x:v>
      </x:c>
      <x:c r="M76" s="14" t="n">
        <x:v>50.7374</x:v>
      </x:c>
      <x:c r="N76" s="14" t="n">
        <x:v>7.0982</x:v>
      </x:c>
      <x:c r="O76" s="14" t="str">
        <x:v>https://www.iap.uni-bonn.de/nqo/en</x:v>
      </x:c>
      <x:c r="P76" s="14"/>
      <x:c r="Q76" s="14"/>
      <x:c r="R76" s="14" t="str">
        <x:v>rydberg_atoms; magic_trapping; optical_tweezers; enabling_physics; theory_experiment</x:v>
      </x:c>
      <x:c r="S76" s="14" t="str">
        <x:v>generic Rydberg</x:v>
      </x:c>
      <x:c r="T76" s="14" t="str">
        <x:v>magic_trapping; coherence; enabling_physics</x:v>
      </x:c>
      <x:c r="U76" s="14" t="str">
        <x:v>yes</x:v>
      </x:c>
      <x:c r="V76" s="14" t="str">
        <x:v>mixed</x:v>
      </x:c>
      <x:c r="W76" s="14" t="str">
        <x:v>mixed</x:v>
      </x:c>
      <x:c r="X76" s="14" t="str">
        <x:v>no</x:v>
      </x:c>
      <x:c r="Y76" s="14"/>
      <x:c r="Z76" s="14" t="str">
        <x:v>Magic running- and standing-wave optical traps for Rydberg atoms</x:v>
      </x:c>
      <x:c r="AA76" s="14" t="n">
        <x:v>2025</x:v>
      </x:c>
      <x:c r="AB76" s="14" t="str">
        <x:v>2026-06-18</x:v>
      </x:c>
      <x:c r="AC76" s="14" t="str">
        <x:v>https://arxiv.org/abs/2410.20901</x:v>
      </x:c>
      <x:c r="AD76" s="14" t="str">
        <x:v>https://www.iap.uni-bonn.de/nqo/en/nqonews/rqo-paper-published-in-pra</x:v>
      </x:c>
      <x:c r="AE76" s="14"/>
      <x:c r="AF76" s="14"/>
      <x:c r="AG76" s="14" t="str">
        <x:v>Q-058</x:v>
      </x:c>
      <x:c r="AH76" s="14"/>
      <x:c r="AI76" s="14"/>
      <x:c r="AJ76" s="14"/>
      <x:c r="AK76" s="14" t="str">
        <x:v>Promoted in v1.7 as adjacent/enabling physics. Relevant for trapped Rydberg coherence, but not a mainstream tweezer-array processor by itself.</x:v>
      </x:c>
      <x:c r="AL76" s="14" t="str">
        <x:v>Keep in adjacent layer unless later evidence shows direct array-QC/simulation platform.</x:v>
      </x:c>
    </x:row>
    <x:row r="77">
      <x:c r="A77" s="14" t="str">
        <x:v>E-076</x:v>
      </x:c>
      <x:c r="B77" s="14" t="str">
        <x:v>Zakrzewski Rydberg-tweezer localization/topology theory node</x:v>
      </x:c>
      <x:c r="C77" s="14" t="str">
        <x:v>theory_group</x:v>
      </x:c>
      <x:c r="D77" s="14" t="str">
        <x:v>verified</x:v>
      </x:c>
      <x:c r="E77" s="14" t="str">
        <x:v>B</x:v>
      </x:c>
      <x:c r="F77" s="14" t="n">
        <x:v>4</x:v>
      </x:c>
      <x:c r="G77" s="14" t="str">
        <x:v>Jakub Zakrzewski</x:v>
      </x:c>
      <x:c r="H77" s="14" t="str">
        <x:v>Jagiellonian University in Kraków</x:v>
      </x:c>
      <x:c r="I77" s="14" t="str">
        <x:v>Mark Kac Complex Systems Research Center / Institute of Theoretical Physics</x:v>
      </x:c>
      <x:c r="J77" s="14" t="str">
        <x:v>Kraków</x:v>
      </x:c>
      <x:c r="K77" s="14" t="str">
        <x:v>Lesser Poland</x:v>
      </x:c>
      <x:c r="L77" s="14" t="str">
        <x:v>Poland</x:v>
      </x:c>
      <x:c r="M77" s="14" t="n">
        <x:v>50.0647</x:v>
      </x:c>
      <x:c r="N77" s="14" t="n">
        <x:v>19.945</x:v>
      </x:c>
      <x:c r="O77" s="14" t="str">
        <x:v>https://chaos.if.uj.edu.pl/~kuba/</x:v>
      </x:c>
      <x:c r="P77" s="14"/>
      <x:c r="Q77" s="14"/>
      <x:c r="R77" s="14" t="str">
        <x:v>rydberg_tweezer_arrays; localization; topology; disorder; theory</x:v>
      </x:c>
      <x:c r="S77" s="14" t="str">
        <x:v>generic Rydberg</x:v>
      </x:c>
      <x:c r="T77" s="14" t="str">
        <x:v>localization; topology; quantum_simulation; disorder; theory</x:v>
      </x:c>
      <x:c r="U77" s="14" t="str">
        <x:v>yes</x:v>
      </x:c>
      <x:c r="V77" s="14" t="str">
        <x:v>no</x:v>
      </x:c>
      <x:c r="W77" s="14" t="str">
        <x:v>theory</x:v>
      </x:c>
      <x:c r="X77" s="14" t="str">
        <x:v>no</x:v>
      </x:c>
      <x:c r="Y77" s="14"/>
      <x:c r="Z77" s="14" t="str">
        <x:v>Interplay of localization and topology in disordered dimerized arrays of Rydberg atoms</x:v>
      </x:c>
      <x:c r="AA77" s="14" t="n">
        <x:v>2026</x:v>
      </x:c>
      <x:c r="AB77" s="14" t="str">
        <x:v>2026-06-18</x:v>
      </x:c>
      <x:c r="AC77" s="14" t="str">
        <x:v>https://arxiv.org/abs/2505.07720</x:v>
      </x:c>
      <x:c r="AD77" s="14" t="str">
        <x:v>https://arxiv.org/pdf/2505.07720</x:v>
      </x:c>
      <x:c r="AE77" s="14"/>
      <x:c r="AF77" s="14"/>
      <x:c r="AG77" s="14" t="str">
        <x:v>Q-062</x:v>
      </x:c>
      <x:c r="AH77" s="14"/>
      <x:c r="AI77" s="14"/>
      <x:c r="AJ77" s="14"/>
      <x:c r="AK77" s="14" t="str">
        <x:v>Promoted in v1.7. The paper explicitly states Rydberg tweezer arrays as the target platform and PDF lists Jagiellonian affiliation.</x:v>
      </x:c>
      <x:c r="AL77" s="14" t="str">
        <x:v>Add official personal/group page if public source is needed beyond PDF.</x:v>
      </x:c>
    </x:row>
    <x:row r="78">
      <x:c r="A78" s="14" t="str">
        <x:v>E-077</x:v>
      </x:c>
      <x:c r="B78" s="14" t="str">
        <x:v>Lychkovskiy/Fedorov messenger-qubit Rydberg-processor architecture node</x:v>
      </x:c>
      <x:c r="C78" s="14" t="str">
        <x:v>theory_group</x:v>
      </x:c>
      <x:c r="D78" s="14" t="str">
        <x:v>needs_review</x:v>
      </x:c>
      <x:c r="E78" s="14" t="str">
        <x:v>B</x:v>
      </x:c>
      <x:c r="F78" s="14" t="n">
        <x:v>3</x:v>
      </x:c>
      <x:c r="G78" s="14" t="str">
        <x:v>Oleg V. Lychkovskiy; Aleksey K. Fedorov; collaborators</x:v>
      </x:c>
      <x:c r="H78" s="14" t="str">
        <x:v>Skolkovo Institute of Science and Technology / Russian Quantum Center</x:v>
      </x:c>
      <x:c r="I78" s="14" t="str">
        <x:v>Quantum information / theory architecture</x:v>
      </x:c>
      <x:c r="J78" s="14" t="str">
        <x:v>Moscow / Skolkovo</x:v>
      </x:c>
      <x:c r="K78" s="14" t="str">
        <x:v>Moscow Oblast</x:v>
      </x:c>
      <x:c r="L78" s="14" t="str">
        <x:v>Russia</x:v>
      </x:c>
      <x:c r="M78" s="14" t="n">
        <x:v>55.7558</x:v>
      </x:c>
      <x:c r="N78" s="14" t="n">
        <x:v>37.6173</x:v>
      </x:c>
      <x:c r="O78" s="14" t="str">
        <x:v>https://arxiv.org/abs/2504.05087</x:v>
      </x:c>
      <x:c r="P78" s="14"/>
      <x:c r="Q78" s="14"/>
      <x:c r="R78" s="14" t="str">
        <x:v>rydberg_atom_processors; messenger_qubits; all_to_all_connectivity; architecture; theory</x:v>
      </x:c>
      <x:c r="S78" s="14" t="str">
        <x:v>generic Rydberg</x:v>
      </x:c>
      <x:c r="T78" s="14" t="str">
        <x:v>architecture; connectivity; messenger_qubits; theory</x:v>
      </x:c>
      <x:c r="U78" s="14" t="str">
        <x:v>unclear</x:v>
      </x:c>
      <x:c r="V78" s="14" t="str">
        <x:v>no</x:v>
      </x:c>
      <x:c r="W78" s="14" t="str">
        <x:v>theory</x:v>
      </x:c>
      <x:c r="X78" s="14" t="str">
        <x:v>no</x:v>
      </x:c>
      <x:c r="Y78" s="14"/>
      <x:c r="Z78" s="14" t="str">
        <x:v>All-to-all connectivity of Rydberg-atom-based quantum processors with messenger qubits</x:v>
      </x:c>
      <x:c r="AA78" s="14" t="n">
        <x:v>2026</x:v>
      </x:c>
      <x:c r="AB78" s="14" t="str">
        <x:v>2026-06-18</x:v>
      </x:c>
      <x:c r="AC78" s="14" t="str">
        <x:v>https://arxiv.org/abs/2504.05087</x:v>
      </x:c>
      <x:c r="AD78" s="14" t="str">
        <x:v>https://link.aps.org/doi/10.1103/6bsx-k4m6</x:v>
      </x:c>
      <x:c r="AE78" s="14" t="str">
        <x:v>https://arxiv.org/html/2504.05087v3</x:v>
      </x:c>
      <x:c r="AF78" s="14"/>
      <x:c r="AG78" s="14" t="str">
        <x:v>Q-061</x:v>
      </x:c>
      <x:c r="AH78" s="14"/>
      <x:c r="AI78" s="14"/>
      <x:c r="AJ78" s="14"/>
      <x:c r="AK78" s="14" t="str">
        <x:v>Promoted in v1.7 but kept needs_review. Relevant architecture theory for Rydberg-atom processors; optical-tweezer implementation details and exact institution node require one more QC pass.</x:v>
      </x:c>
      <x:c r="AL78" s="14" t="str">
        <x:v>Verify whether the correct map node should be Skoltech, Russian Quantum Center, or a broader Fedorov architecture node.</x:v>
      </x:c>
    </x:row>
    <x:row r="79">
      <x:c r="A79" s="14" t="str">
        <x:v>E-078</x:v>
      </x:c>
      <x:c r="B79" s="14" t="str">
        <x:v>Petrosyan/FORTH-YerPhI Rydberg multiqubit-gate theory node</x:v>
      </x:c>
      <x:c r="C79" s="14" t="str">
        <x:v>theory_group</x:v>
      </x:c>
      <x:c r="D79" s="14" t="str">
        <x:v>verified</x:v>
      </x:c>
      <x:c r="E79" s="14" t="str">
        <x:v>B</x:v>
      </x:c>
      <x:c r="F79" s="14" t="n">
        <x:v>4</x:v>
      </x:c>
      <x:c r="G79" s="14" t="str">
        <x:v>David Petrosyan; Antonis Delakouras; Georgios Doultsinos</x:v>
      </x:c>
      <x:c r="H79" s="14" t="str">
        <x:v>FORTH / University of Crete / A. Alikhanyan National Science Laboratory (YerPhI)</x:v>
      </x:c>
      <x:c r="I79" s="14" t="str">
        <x:v>Institute of Electronic Structure and Laser / Center for Quantum Science and Technologies</x:v>
      </x:c>
      <x:c r="J79" s="14" t="str">
        <x:v>Heraklion / Yerevan</x:v>
      </x:c>
      <x:c r="K79" s="14" t="str">
        <x:v>Crete / Yerevan</x:v>
      </x:c>
      <x:c r="L79" s="14" t="str">
        <x:v>Greece / Armenia</x:v>
      </x:c>
      <x:c r="M79" s="14" t="n">
        <x:v>35.3387</x:v>
      </x:c>
      <x:c r="N79" s="14" t="n">
        <x:v>25.1442</x:v>
      </x:c>
      <x:c r="O79" s="14" t="str">
        <x:v>https://esperia.iesl.forth.gr/~dap/publ.html</x:v>
      </x:c>
      <x:c r="P79" s="14"/>
      <x:c r="Q79" s="14"/>
      <x:c r="R79" s="14" t="str">
        <x:v>rydberg_array; optical_tweezers; neutral_atom_qc; multiqubit_gates; quantum_bus; theory; connectivity</x:v>
      </x:c>
      <x:c r="S79" s="14" t="str">
        <x:v>generic neutral atoms</x:v>
      </x:c>
      <x:c r="T79" s="14" t="str">
        <x:v>multiqubit_gates; distant_gates; quantum_bus; connectivity; blockade</x:v>
      </x:c>
      <x:c r="U79" s="14" t="str">
        <x:v>yes</x:v>
      </x:c>
      <x:c r="V79" s="14" t="str">
        <x:v>no</x:v>
      </x:c>
      <x:c r="W79" s="14" t="str">
        <x:v>theory</x:v>
      </x:c>
      <x:c r="X79" s="14" t="str">
        <x:v>no</x:v>
      </x:c>
      <x:c r="Y79" s="14"/>
      <x:c r="Z79" s="14" t="str">
        <x:v>Multi-qubit Rydberg gates between distant atoms; Quantum gates between distant atoms mediated by a Rydberg excitation antiferromagnet</x:v>
      </x:c>
      <x:c r="AA79" s="14" t="n">
        <x:v>2026</x:v>
      </x:c>
      <x:c r="AB79" s="14" t="str">
        <x:v>2026-06-18</x:v>
      </x:c>
      <x:c r="AC79" s="14" t="str">
        <x:v>https://arxiv.org/html/2507.16602v2</x:v>
      </x:c>
      <x:c r="AD79" s="14" t="str">
        <x:v>https://quantum-journal.org/papers/q-2026-01-28-1990/</x:v>
      </x:c>
      <x:c r="AE79" s="14" t="str">
        <x:v>https://esperia.iesl.forth.gr/~dap/publ.html</x:v>
      </x:c>
      <x:c r="AF79" s="14" t="str">
        <x:v>REV-009</x:v>
      </x:c>
      <x:c r="AG79" s="14" t="str">
        <x:v>review-mining-v1.9</x:v>
      </x:c>
      <x:c r="AH79" s="14"/>
      <x:c r="AI79" s="14"/>
      <x:c r="AJ79" s="14"/>
      <x:c r="AK79" s="14" t="str">
        <x:v>Promoted in v2.0 from Saffman-review reference mining. The arXiv HTML lists FORTH/University of Crete/YerPhI affiliations and the paper explicitly considers neutral atoms in optical tweezers with Rydberg-mediated multiqubit and distant gates.</x:v>
      </x:c>
      <x:c r="AL79" s="14" t="str">
        <x:v>Check whether to split FORTH and YerPhI into separate map nodes if more papers appear.</x:v>
      </x:c>
    </x:row>
    <x:row r="80">
      <x:c r="A80" s="14" t="str">
        <x:v>E-079</x:v>
      </x:c>
      <x:c r="B80" s="14" t="str">
        <x:v>Lechner / Innsbruck-ParityQC neutral-atom gate-set theory node</x:v>
      </x:c>
      <x:c r="C80" s="14" t="str">
        <x:v>mixed</x:v>
      </x:c>
      <x:c r="D80" s="14" t="str">
        <x:v>verified</x:v>
      </x:c>
      <x:c r="E80" s="14" t="str">
        <x:v>B</x:v>
      </x:c>
      <x:c r="F80" s="14" t="n">
        <x:v>4</x:v>
      </x:c>
      <x:c r="G80" s="14" t="str">
        <x:v>Wolfgang Lechner; Pedro Ildefonso; Michael Schuler; Javad Kazemi</x:v>
      </x:c>
      <x:c r="H80" s="14" t="str">
        <x:v>University of Innsbruck / ParityQC</x:v>
      </x:c>
      <x:c r="I80" s="14" t="str">
        <x:v>Institute for Theoretical Physics / Parity Quantum Computing</x:v>
      </x:c>
      <x:c r="J80" s="14" t="str">
        <x:v>Innsbruck</x:v>
      </x:c>
      <x:c r="K80" s="14" t="str">
        <x:v>Tyrol</x:v>
      </x:c>
      <x:c r="L80" s="14" t="str">
        <x:v>Austria</x:v>
      </x:c>
      <x:c r="M80" s="14" t="n">
        <x:v>47.2692</x:v>
      </x:c>
      <x:c r="N80" s="14" t="n">
        <x:v>11.4041</x:v>
      </x:c>
      <x:c r="O80" s="14" t="str">
        <x:v>https://www.uibk.ac.at/en/th-physik/quantum-computing/publications/</x:v>
      </x:c>
      <x:c r="P80" s="14"/>
      <x:c r="Q80" s="14"/>
      <x:c r="R80" s="14" t="str">
        <x:v>neutral_atom_qc; rydberg_gates; optical_tweezers; optimal_control; iSWAP; exchange_gates; parity_architecture; theory; company_link</x:v>
      </x:c>
      <x:c r="S80" s="14" t="str">
        <x:v>Sr; generic neutral atoms</x:v>
      </x:c>
      <x:c r="T80" s="14" t="str">
        <x:v>native_iSWAP; exchange_gates; optimal_control; Rydberg_dipole_dipole</x:v>
      </x:c>
      <x:c r="U80" s="14" t="str">
        <x:v>yes</x:v>
      </x:c>
      <x:c r="V80" s="14" t="str">
        <x:v>no</x:v>
      </x:c>
      <x:c r="W80" s="14" t="str">
        <x:v>theory</x:v>
      </x:c>
      <x:c r="X80" s="14" t="str">
        <x:v>yes</x:v>
      </x:c>
      <x:c r="Y80" s="14" t="str">
        <x:v>ParityQC</x:v>
      </x:c>
      <x:c r="Z80" s="14" t="str">
        <x:v>Expanding the Neutral Atom Gate Set: Native iSWAP and Exchange Gates from Dipolar Rydberg Interactions; Rydberg blockade based parity quantum optimization</x:v>
      </x:c>
      <x:c r="AA80" s="14" t="n">
        <x:v>2025</x:v>
      </x:c>
      <x:c r="AB80" s="14" t="str">
        <x:v>2026-06-18</x:v>
      </x:c>
      <x:c r="AC80" s="14" t="str">
        <x:v>https://arxiv.org/html/2512.05037v1</x:v>
      </x:c>
      <x:c r="AD80" s="14" t="str">
        <x:v>https://www.uibk.ac.at/en/th-physik/quantum-computing/publications/</x:v>
      </x:c>
      <x:c r="AE80" s="14" t="str">
        <x:v>https://parityqc.com/quantum-computing-on-neutral-atoms-four-body-rydberg-gate</x:v>
      </x:c>
      <x:c r="AF80" s="14" t="str">
        <x:v>REV-009</x:v>
      </x:c>
      <x:c r="AG80" s="14" t="str">
        <x:v>review-mining-v1.9</x:v>
      </x:c>
      <x:c r="AH80" s="14"/>
      <x:c r="AI80" s="14"/>
      <x:c r="AJ80" s="14"/>
      <x:c r="AK80" s="14" t="str">
        <x:v>Promoted in v2.0. The paper lists University of Innsbruck plus ParityQC affiliations, models Sr neutral-atom QPUs, and is relevant for expanding native Rydberg gate sets beyond CZ.</x:v>
      </x:c>
      <x:c r="AL80" s="14" t="str">
        <x:v>Track whether this node should be represented as an academic group, a company node, or both.</x:v>
      </x:c>
    </x:row>
    <x:row r="81">
      <x:c r="A81" s="14" t="str">
        <x:v>E-080</x:v>
      </x:c>
      <x:c r="B81" s="14" t="str">
        <x:v>Khazali-Mølmer conditional-exchange neutral-atom gate theory node</x:v>
      </x:c>
      <x:c r="C81" s="14" t="str">
        <x:v>theory_group</x:v>
      </x:c>
      <x:c r="D81" s="14" t="str">
        <x:v>verified</x:v>
      </x:c>
      <x:c r="E81" s="14" t="str">
        <x:v>B</x:v>
      </x:c>
      <x:c r="F81" s="14" t="n">
        <x:v>3</x:v>
      </x:c>
      <x:c r="G81" s="14" t="str">
        <x:v>Mohammadsadegh Khazali; Klaus Mølmer</x:v>
      </x:c>
      <x:c r="H81" s="14" t="str">
        <x:v>University of Tehran / Niels Bohr Institute</x:v>
      </x:c>
      <x:c r="I81" s="14" t="str">
        <x:v>Department of Physics / Niels Bohr Institute</x:v>
      </x:c>
      <x:c r="J81" s="14" t="str">
        <x:v>Tehran / Copenhagen</x:v>
      </x:c>
      <x:c r="K81" s="14"/>
      <x:c r="L81" s="14" t="str">
        <x:v>Iran / Denmark</x:v>
      </x:c>
      <x:c r="M81" s="14" t="n">
        <x:v>55.6761</x:v>
      </x:c>
      <x:c r="N81" s="14" t="n">
        <x:v>12.5683</x:v>
      </x:c>
      <x:c r="O81" s="14" t="str">
        <x:v>https://arxiv.org/html/2511.22214v1</x:v>
      </x:c>
      <x:c r="P81" s="14"/>
      <x:c r="Q81" s="14"/>
      <x:c r="R81" s="14" t="str">
        <x:v>neutral_atom_arrays; rydberg_gates; controlled_SWAP; conditional_exchange; routing; theory</x:v>
      </x:c>
      <x:c r="S81" s="14" t="str">
        <x:v>generic neutral atoms</x:v>
      </x:c>
      <x:c r="T81" s="14" t="str">
        <x:v>controlled_SWAP; conditional_exchange; routing; native_multiqubit_gates</x:v>
      </x:c>
      <x:c r="U81" s="14" t="str">
        <x:v>unclear</x:v>
      </x:c>
      <x:c r="V81" s="14" t="str">
        <x:v>no</x:v>
      </x:c>
      <x:c r="W81" s="14" t="str">
        <x:v>theory</x:v>
      </x:c>
      <x:c r="X81" s="14" t="str">
        <x:v>no</x:v>
      </x:c>
      <x:c r="Y81" s="14"/>
      <x:c r="Z81" s="14" t="str">
        <x:v>Controlled-SWAP gates by tuning of interfering transition pathways in neutral atom arrays</x:v>
      </x:c>
      <x:c r="AA81" s="14" t="n">
        <x:v>2025</x:v>
      </x:c>
      <x:c r="AB81" s="14" t="str">
        <x:v>2026-06-18</x:v>
      </x:c>
      <x:c r="AC81" s="14" t="str">
        <x:v>https://arxiv.org/html/2511.22214v1</x:v>
      </x:c>
      <x:c r="AD81" s="14" t="str">
        <x:v>https://arxiv.org/abs/2511.22214</x:v>
      </x:c>
      <x:c r="AE81" s="14"/>
      <x:c r="AF81" s="14" t="str">
        <x:v>REV-009</x:v>
      </x:c>
      <x:c r="AG81" s="14" t="str">
        <x:v>review-mining-v1.9</x:v>
      </x:c>
      <x:c r="AH81" s="14"/>
      <x:c r="AI81" s="14"/>
      <x:c r="AJ81" s="14"/>
      <x:c r="AK81" s="14" t="str">
        <x:v>Promoted in v2.0 with optical_tweezers=unclear. Strongly relevant to Rydberg neutral-atom gate theory, but the paper discusses neutral atom arrays broadly rather than a specific tweezer processor.</x:v>
      </x:c>
      <x:c r="AL81" s="14" t="str">
        <x:v>Check follow-up citations and whether Khazali should be represented separately from Mølmer if more recent Rydberg-array papers appear.</x:v>
      </x:c>
    </x:row>
    <x:row r="82">
      <x:c r="A82" s="14" t="str">
        <x:v>E-081</x:v>
      </x:c>
      <x:c r="B82" s="14" t="str">
        <x:v>PNNL multi-target Rydberg gates and neutral-atom architecture node</x:v>
      </x:c>
      <x:c r="C82" s="14" t="str">
        <x:v>national_lab</x:v>
      </x:c>
      <x:c r="D82" s="14" t="str">
        <x:v>verified</x:v>
      </x:c>
      <x:c r="E82" s="14" t="str">
        <x:v>B</x:v>
      </x:c>
      <x:c r="F82" s="14" t="n">
        <x:v>4</x:v>
      </x:c>
      <x:c r="G82" s="14" t="str">
        <x:v>Ang Li; Samuel Stein; Chenxu Liu; collaborators</x:v>
      </x:c>
      <x:c r="H82" s="14" t="str">
        <x:v>Pacific Northwest National Laboratory</x:v>
      </x:c>
      <x:c r="I82" s="14" t="str">
        <x:v>Future Computing / QuAADS</x:v>
      </x:c>
      <x:c r="J82" s="14" t="str">
        <x:v>Richland</x:v>
      </x:c>
      <x:c r="K82" s="14" t="str">
        <x:v>WA</x:v>
      </x:c>
      <x:c r="L82" s="14" t="str">
        <x:v>United States</x:v>
      </x:c>
      <x:c r="M82" s="14" t="n">
        <x:v>46.2804</x:v>
      </x:c>
      <x:c r="N82" s="14" t="n">
        <x:v>-119.2752</x:v>
      </x:c>
      <x:c r="O82" s="14" t="str">
        <x:v>https://www.pnnl.gov/projects/quantum-algorithms-and-architecture-domain-science/leadership</x:v>
      </x:c>
      <x:c r="P82" s="14"/>
      <x:c r="Q82" s="14"/>
      <x:c r="R82" s="14" t="str">
        <x:v>neutral_atom_qc; rydberg_gates; multi_target_gates; QEC; pulse_synthesis; architecture; software_hardware_codesign; theory</x:v>
      </x:c>
      <x:c r="S82" s="14" t="str">
        <x:v>generic neutral atoms</x:v>
      </x:c>
      <x:c r="T82" s="14" t="str">
        <x:v>multi_target_gates; spatial_blockade_engineering; syndrome_extraction; QEC_architecture</x:v>
      </x:c>
      <x:c r="U82" s="14" t="str">
        <x:v>yes/unclear</x:v>
      </x:c>
      <x:c r="V82" s="14" t="str">
        <x:v>no</x:v>
      </x:c>
      <x:c r="W82" s="14" t="str">
        <x:v>theory</x:v>
      </x:c>
      <x:c r="X82" s="14" t="str">
        <x:v>no</x:v>
      </x:c>
      <x:c r="Y82" s="14"/>
      <x:c r="Z82" s="14" t="str">
        <x:v>Multi-Target Rydberg Gates via Spatial Blockade Engineering</x:v>
      </x:c>
      <x:c r="AA82" s="14" t="n">
        <x:v>2026</x:v>
      </x:c>
      <x:c r="AB82" s="14" t="str">
        <x:v>2026-06-18</x:v>
      </x:c>
      <x:c r="AC82" s="14" t="str">
        <x:v>https://arxiv.org/html/2504.15282v1</x:v>
      </x:c>
      <x:c r="AD82" s="14" t="str">
        <x:v>https://jqi.umd.edu/publications/multitarget-rydberg-gates-spatial-blockade-engineering</x:v>
      </x:c>
      <x:c r="AE82" s="14" t="str">
        <x:v>https://www.pnnl.gov/projects/quantum-algorithms-and-architecture-domain-science/leadership</x:v>
      </x:c>
      <x:c r="AF82" s="14" t="str">
        <x:v>REV-009</x:v>
      </x:c>
      <x:c r="AG82" s="14" t="str">
        <x:v>review-mining-v1.9</x:v>
      </x:c>
      <x:c r="AH82" s="14"/>
      <x:c r="AI82" s="14"/>
      <x:c r="AJ82" s="14"/>
      <x:c r="AK82" s="14" t="str">
        <x:v>Promoted in v2.0. The arXiv HTML lists PNNL affiliations for Stein/Liu/Li and the work targets multi-target Rydberg gates for neutral-atom syndrome extraction. Marked yes/unclear for tweezers because the target hardware is neutral-atom arrays, not a PNNL experimental tweezer platform.</x:v>
      </x:c>
      <x:c r="AL82" s="14" t="str">
        <x:v>Decide whether to keep as national-lab architecture/software layer or split by PNNL/JQI/UMD collaborators.</x:v>
      </x:c>
    </x:row>
    <x:row r="83">
      <x:c r="A83" s="14" t="str">
        <x:v>E-082</x:v>
      </x:c>
      <x:c r="B83" s="14" t="str">
        <x:v>Stanford-Chicago RF-tuned Förster Rydberg-interaction node</x:v>
      </x:c>
      <x:c r="C83" s="14" t="str">
        <x:v>academic</x:v>
      </x:c>
      <x:c r="D83" s="14" t="str">
        <x:v>verified</x:v>
      </x:c>
      <x:c r="E83" s="14" t="str">
        <x:v>C</x:v>
      </x:c>
      <x:c r="F83" s="14" t="n">
        <x:v>2</x:v>
      </x:c>
      <x:c r="G83" s="14" t="str">
        <x:v>Jon Simon; Lukas Palm; Stanford/Chicago collaborators</x:v>
      </x:c>
      <x:c r="H83" s="14" t="str">
        <x:v>Stanford University / University of Chicago</x:v>
      </x:c>
      <x:c r="I83" s="14" t="str">
        <x:v>Applied Physics / Physics / James Franck Institute</x:v>
      </x:c>
      <x:c r="J83" s="14" t="str">
        <x:v>Stanford / Chicago</x:v>
      </x:c>
      <x:c r="K83" s="14" t="str">
        <x:v>CA / IL</x:v>
      </x:c>
      <x:c r="L83" s="14" t="str">
        <x:v>United States</x:v>
      </x:c>
      <x:c r="M83" s="14" t="n">
        <x:v>37.4275</x:v>
      </x:c>
      <x:c r="N83" s="14" t="n">
        <x:v>-122.1697</x:v>
      </x:c>
      <x:c r="O83" s="14" t="str">
        <x:v>https://arxiv.org/html/2603.07958v1</x:v>
      </x:c>
      <x:c r="P83" s="14"/>
      <x:c r="Q83" s="14"/>
      <x:c r="R83" s="14" t="str">
        <x:v>rydberg_interactions; RF_tuned_forster; microwave_dressing; blockade_enhancement; cavity_Rydberg; adjacent_interaction_engineering</x:v>
      </x:c>
      <x:c r="S83" s="14" t="str">
        <x:v>Rb</x:v>
      </x:c>
      <x:c r="T83" s="14" t="str">
        <x:v>interaction_engineering; enhanced_blockade; RF_tuned_Forster_resonance; adjacent</x:v>
      </x:c>
      <x:c r="U83" s="14" t="str">
        <x:v>no/adjacent</x:v>
      </x:c>
      <x:c r="V83" s="14" t="str">
        <x:v>experimental</x:v>
      </x:c>
      <x:c r="W83" s="14" t="str">
        <x:v>mixed</x:v>
      </x:c>
      <x:c r="X83" s="14" t="str">
        <x:v>no</x:v>
      </x:c>
      <x:c r="Y83" s="14"/>
      <x:c r="Z83" s="14" t="str">
        <x:v>Enhanced Rydberg Blockade through RF-tuned Förster Resonance; Enhancement of Rydberg Blockade via Microwave Dressing</x:v>
      </x:c>
      <x:c r="AA83" s="14" t="n">
        <x:v>2026</x:v>
      </x:c>
      <x:c r="AB83" s="14" t="str">
        <x:v>2026-06-18</x:v>
      </x:c>
      <x:c r="AC83" s="14" t="str">
        <x:v>https://arxiv.org/html/2603.07958v1</x:v>
      </x:c>
      <x:c r="AD83" s="14" t="str">
        <x:v>https://link.aps.org/doi/10.1103/PhysRevLett.134.123404</x:v>
      </x:c>
      <x:c r="AE83" s="14" t="str">
        <x:v>https://arxiv.org/abs/2411.08236</x:v>
      </x:c>
      <x:c r="AF83" s="14" t="str">
        <x:v>REV-009</x:v>
      </x:c>
      <x:c r="AG83" s="14" t="str">
        <x:v>review-mining-v1.9</x:v>
      </x:c>
      <x:c r="AH83" s="14"/>
      <x:c r="AI83" s="14"/>
      <x:c r="AJ83" s="14"/>
      <x:c r="AK83" s="14" t="str">
        <x:v>Promoted in v2.0 as C adjacent because it is Rydberg interaction engineering relevant to gates and dressing, but the demonstrated system is cavity/ensemble-oriented rather than a neutral-atom tweezer array processor.</x:v>
      </x:c>
      <x:c r="AL83" s="14" t="str">
        <x:v>Keep in adjacent/dressing layer; do not count as core tweezer-array group unless future tweezer-array implementation appears.</x:v>
      </x:c>
    </x:row>
  </x:sheetData>
  <x:conditionalFormatting sqref="E2:E51">
    <x:cfRule type="expression" dxfId="0" priority="1">
      <x:formula>E2="A"</x:formula>
    </x:cfRule>
    <x:cfRule type="expression" dxfId="1" priority="2">
      <x:formula>E2="B"</x:formula>
    </x:cfRule>
    <x:cfRule type="expression" dxfId="2" priority="3">
      <x:formula>E2="C"</x:formula>
    </x:cfRule>
    <x:cfRule type="expression" dxfId="3" priority="4">
      <x:formula>E2="Exclude"</x:formula>
    </x:cfRule>
  </x:conditionalFormatting>
  <x:conditionalFormatting sqref="E2:E28">
    <x:cfRule type="expression" dxfId="4" priority="5">
      <x:formula>E2="A"</x:formula>
    </x:cfRule>
    <x:cfRule type="expression" dxfId="5" priority="6">
      <x:formula>E2="B"</x:formula>
    </x:cfRule>
    <x:cfRule type="expression" dxfId="6" priority="7">
      <x:formula>E2="C"</x:formula>
    </x:cfRule>
  </x:conditionalFormatting>
  <x:dataValidations count="8">
    <x:dataValidation type="list" sqref="C2:C51">
      <x:formula1>Lists!$A$2:$A$8</x:formula1>
    </x:dataValidation>
    <x:dataValidation type="list" sqref="D2:D51">
      <x:formula1>Lists!$B$2:$B$6</x:formula1>
    </x:dataValidation>
    <x:dataValidation type="list" sqref="E2:E51">
      <x:formula1>Lists!$C$2:$C$5</x:formula1>
    </x:dataValidation>
    <x:dataValidation type="list" sqref="U2:U51">
      <x:formula1>Lists!$D$2:$D$5</x:formula1>
    </x:dataValidation>
    <x:dataValidation type="list" sqref="V2:V51">
      <x:formula1>Lists!$E$2:$E$6</x:formula1>
    </x:dataValidation>
    <x:dataValidation type="list" sqref="S2:S51">
      <x:formula1>Lists!$F$2:$F$9</x:formula1>
    </x:dataValidation>
    <x:dataValidation type="list" sqref="D2:D200">
      <x:formula1>"verified,needs_review,candidate,exclude,archived"</x:formula1>
    </x:dataValidation>
    <x:dataValidation type="list" sqref="E2:E200">
      <x:formula1>"A,B,C,Exclude"</x:formula1>
    </x:dataValidation>
  </x:dataValidations>
  <x:pageMargins left="0.7" right="0.7" top="0.75" bottom="0.75" header="0.3" footer="0.3"/>
  <x:tableParts count="2">
    <x:tablePart xmlns:r="http://schemas.openxmlformats.org/officeDocument/2006/relationships" r:id="R0925d4c1c199459d"/>
    <x:tablePart xmlns:r="http://schemas.openxmlformats.org/officeDocument/2006/relationships" r:id="R8a82ecdb2d3f47a9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4" hidden="0" customWidth="1"/>
    <x:col min="3" max="3" width="14" hidden="0" customWidth="1"/>
    <x:col min="4" max="4" width="18" hidden="0" customWidth="1"/>
    <x:col min="5" max="5" width="34" hidden="0" customWidth="1"/>
    <x:col min="6" max="6" width="34" hidden="0" customWidth="1"/>
    <x:col min="7" max="7" width="14" hidden="0" customWidth="1"/>
    <x:col min="8" max="8" width="34" hidden="0" customWidth="1"/>
  </x:cols>
  <x:sheetData>
    <x:row r="1" ht="30" customHeight="1">
      <x:c r="A1" s="39" t="str">
        <x:v>seed_id</x:v>
      </x:c>
      <x:c r="B1" s="39" t="str">
        <x:v>review_or_perspective_title</x:v>
      </x:c>
      <x:c r="C1" s="39" t="str">
        <x:v>year</x:v>
      </x:c>
      <x:c r="D1" s="39" t="str">
        <x:v>area</x:v>
      </x:c>
      <x:c r="E1" s="39" t="str">
        <x:v>why_useful</x:v>
      </x:c>
      <x:c r="F1" s="39" t="str">
        <x:v>source_url_or_doi</x:v>
      </x:c>
      <x:c r="G1" s="39" t="str">
        <x:v>status</x:v>
      </x:c>
      <x:c r="H1" s="39" t="str">
        <x:v>notes</x:v>
      </x:c>
    </x:row>
    <x:row r="2">
      <x:c r="A2" s="15" t="str">
        <x:v>REV-001</x:v>
      </x:c>
      <x:c r="B2" s="15" t="str">
        <x:v>Many-Body Physics with Individually-Controlled Rydberg Atoms</x:v>
      </x:c>
      <x:c r="C2" s="15" t="n">
        <x:v>2020</x:v>
      </x:c>
      <x:c r="D2" s="15" t="str">
        <x:v>Core review</x:v>
      </x:c>
      <x:c r="E2" s="15" t="str">
        <x:v>Cites the core experimental Rydberg array/tweezer quantum simulation groups and explains optical tweezers vs gas microscopes.</x:v>
      </x:c>
      <x:c r="F2" s="15" t="str">
        <x:v>https://arxiv.org/abs/2002.07413</x:v>
      </x:c>
      <x:c r="G2" s="15" t="str">
        <x:v>seeded</x:v>
      </x:c>
      <x:c r="H2" s="15" t="str">
        <x:v>Browaeys &amp; Lahaye; best first citation seed for experimental arrays.</x:v>
      </x:c>
    </x:row>
    <x:row r="3">
      <x:c r="A3" s="15" t="str">
        <x:v>REV-002</x:v>
      </x:c>
      <x:c r="B3" s="15" t="str">
        <x:v>Quantum computing with neutral atoms</x:v>
      </x:c>
      <x:c r="C3" s="15" t="n">
        <x:v>2020</x:v>
      </x:c>
      <x:c r="D3" s="15" t="str">
        <x:v>Computing / platform</x:v>
      </x:c>
      <x:c r="E3" s="15" t="str">
        <x:v>Connects neutral-atom hardware, applications and early company ecosystem; useful for PASQAL-style platform taxonomy.</x:v>
      </x:c>
      <x:c r="F3" s="15" t="str">
        <x:v>https://arxiv.org/abs/2006.12326</x:v>
      </x:c>
      <x:c r="G3" s="15" t="str">
        <x:v>seeded</x:v>
      </x:c>
      <x:c r="H3" s="15" t="str">
        <x:v>Henriet et al.; includes applications and computational abstraction.</x:v>
      </x:c>
    </x:row>
    <x:row r="4">
      <x:c r="A4" s="15" t="str">
        <x:v>REV-003</x:v>
      </x:c>
      <x:c r="B4" s="15" t="str">
        <x:v>Quantum simulation and computing with Rydberg-interacting qubits</x:v>
      </x:c>
      <x:c r="C4" s="15" t="n">
        <x:v>2021</x:v>
      </x:c>
      <x:c r="D4" s="15" t="str">
        <x:v>Rydberg toolbox</x:v>
      </x:c>
      <x:c r="E4" s="15" t="str">
        <x:v>Good bridge between simulation, gates and theory; useful for theory/mixed groups.</x:v>
      </x:c>
      <x:c r="F4" s="15" t="str">
        <x:v>https://arxiv.org/abs/2011.03031</x:v>
      </x:c>
      <x:c r="G4" s="15" t="str">
        <x:v>seeded</x:v>
      </x:c>
      <x:c r="H4" s="15" t="str">
        <x:v>Morgado &amp; Whitlock; use citations for state-of-the-art and gate metrics.</x:v>
      </x:c>
    </x:row>
    <x:row r="5">
      <x:c r="A5" s="15" t="str">
        <x:v>REV-004</x:v>
      </x:c>
      <x:c r="B5" s="15" t="str">
        <x:v>Rydberg atom quantum technologies</x:v>
      </x:c>
      <x:c r="C5" s="15" t="n">
        <x:v>2019</x:v>
      </x:c>
      <x:c r="D5" s="15" t="str">
        <x:v>Broad Rydberg technologies</x:v>
      </x:c>
      <x:c r="E5" s="15" t="str">
        <x:v>Broad review; useful to classify and exclude vapor-cell sensing vs target tweezer arrays.</x:v>
      </x:c>
      <x:c r="F5" s="15" t="str">
        <x:v>https://arxiv.org/abs/1907.09231</x:v>
      </x:c>
      <x:c r="G5" s="15" t="str">
        <x:v>seeded</x:v>
      </x:c>
      <x:c r="H5" s="15" t="str">
        <x:v>Adams, Pritchard &amp; Shaffer; not all citations are target-core.</x:v>
      </x:c>
    </x:row>
    <x:row r="6">
      <x:c r="A6" s="15" t="str">
        <x:v>REV-005</x:v>
      </x:c>
      <x:c r="B6" s="15" t="str">
        <x:v>Quantum science with optical tweezer arrays of ultracold atoms and molecules</x:v>
      </x:c>
      <x:c r="C6" s="15" t="n">
        <x:v>2021</x:v>
      </x:c>
      <x:c r="D6" s="15" t="str">
        <x:v>Optical tweezers</x:v>
      </x:c>
      <x:c r="E6" s="15" t="str">
        <x:v>Best review for optical tweezer-array methods; helps detect non-Rydberg adjacent groups.</x:v>
      </x:c>
      <x:c r="F6" s="15" t="str">
        <x:v>https://www.nature.com/articles/s41567-021-01357-2</x:v>
      </x:c>
      <x:c r="G6" s="15" t="str">
        <x:v>seeded</x:v>
      </x:c>
      <x:c r="H6" s="15" t="str">
        <x:v>Kaufman &amp; Ni; useful for platform taxonomy.</x:v>
      </x:c>
    </x:row>
    <x:row r="7">
      <x:c r="A7" s="15" t="str">
        <x:v>REV-006</x:v>
      </x:c>
      <x:c r="B7" s="15" t="str">
        <x:v>Neutral Atom Quantum Computing Hardware: Performance and End-User Perspective</x:v>
      </x:c>
      <x:c r="C7" s="15" t="n">
        <x:v>2023</x:v>
      </x:c>
      <x:c r="D7" s="15" t="str">
        <x:v>Hardware / end-user</x:v>
      </x:c>
      <x:c r="E7" s="15" t="str">
        <x:v>Recent hardware overview; useful for company and architecture rows, plus performance fields later.</x:v>
      </x:c>
      <x:c r="F7" s="15" t="str">
        <x:v>https://arxiv.org/abs/2304.14360</x:v>
      </x:c>
      <x:c r="G7" s="15" t="str">
        <x:v>seeded</x:v>
      </x:c>
      <x:c r="H7" s="15" t="str">
        <x:v>Industrial/end-user perspective; needs manual fact-checking row by row.</x:v>
      </x:c>
    </x:row>
    <x:row r="8">
      <x:c r="A8" s="15" t="str">
        <x:v>REV-007</x:v>
      </x:c>
      <x:c r="B8" s="15" t="str">
        <x:v>Quantum information with Rydberg atoms</x:v>
      </x:c>
      <x:c r="C8" s="15" t="n">
        <x:v>2010</x:v>
      </x:c>
      <x:c r="D8" s="15" t="str">
        <x:v>Historical / foundational</x:v>
      </x:c>
      <x:c r="E8" s="15" t="str">
        <x:v>Historical review for Rydberg-mediated quantum information, especially Saffman lineage.</x:v>
      </x:c>
      <x:c r="F8" s="15" t="str">
        <x:v>https://link.aps.org/doi/10.1103/RevModPhys.82.2313</x:v>
      </x:c>
      <x:c r="G8" s="15" t="str">
        <x:v>seeded</x:v>
      </x:c>
      <x:c r="H8" s="15" t="str">
        <x:v>Older but essential for lineage; do not use as sole activity signal.</x:v>
      </x:c>
    </x:row>
    <x:row r="9">
      <x:c r="A9" s="15" t="str">
        <x:v>REV-008</x:v>
      </x:c>
      <x:c r="B9" s="15" t="str">
        <x:v>Quantum technologies with Rydberg atoms</x:v>
      </x:c>
      <x:c r="C9" s="15" t="n">
        <x:v>2024</x:v>
      </x:c>
      <x:c r="D9" s="15" t="str">
        <x:v>Recent broad Rydberg tech</x:v>
      </x:c>
      <x:c r="E9" s="15" t="str">
        <x:v>Recent broad review, useful for catching adjacent domains and newer sensing/computing references.</x:v>
      </x:c>
      <x:c r="F9" s="15" t="str">
        <x:v>https://www.frontiersin.org/journals/quantum-science-and-technology/articles/10.3389/frqst.2024.1426216/full</x:v>
      </x:c>
      <x:c r="G9" s="15" t="str">
        <x:v>to_process</x:v>
      </x:c>
      <x:c r="H9" s="15" t="str">
        <x:v>Broad, should be mined after core review pass.</x:v>
      </x:c>
    </x:row>
    <x:row r="10">
      <x:c r="A10" t="str">
        <x:v>REV-009</x:v>
      </x:c>
      <x:c r="B10" t="str">
        <x:v>Practical Use Cases of Neutral Atoms Quantum Computers</x:v>
      </x:c>
      <x:c r="C10" t="n">
        <x:v>2026</x:v>
      </x:c>
      <x:c r="D10" t="str">
        <x:v>Applications / neutral-atom platform</x:v>
      </x:c>
      <x:c r="E10" t="str">
        <x:v>Recent broad review useful for applications, companies, algorithms and benchmarking; includes neutral-atom references through 2025/2026.</x:v>
      </x:c>
      <x:c r="F10" t="str">
        <x:v>https://arxiv.org/html/2510.18732v2</x:v>
      </x:c>
      <x:c r="G10" t="str">
        <x:v>to_process</x:v>
      </x:c>
      <x:c r="H10" t="str">
        <x:v>Use mainly for industrial/application taxonomy, not for lab inclusion alone.</x:v>
      </x:c>
    </x:row>
    <x:row r="11">
      <x:c r="A11" t="str">
        <x:v>REV-010</x:v>
      </x:c>
      <x:c r="B11" t="str">
        <x:v>Alkaline Earth Rydberg Atoms Optical Tweezer Arrays</x:v>
      </x:c>
      <x:c r="C11" t="n">
        <x:v>2025</x:v>
      </x:c>
      <x:c r="D11" t="str">
        <x:v>Alkaline-earth / Sr-Yb review</x:v>
      </x:c>
      <x:c r="E11" t="str">
        <x:v>Useful to separate Sr/Yb alkaline-earth Rydberg tweezer groups from alkali Rb/Cs programs and to discover new AELA nodes.</x:v>
      </x:c>
      <x:c r="F11" t="str">
        <x:v>https://arxiv.org/html/2510.19816v2</x:v>
      </x:c>
      <x:c r="G11" t="str">
        <x:v>to_process</x:v>
      </x:c>
      <x:c r="H11" t="str">
        <x:v>Mine for Thompson, Caltech, Florence, MPQ, Kyoto/Takahashi, Kaufman and emerging AELA rows.</x:v>
      </x:c>
    </x:row>
    <x:row r="12">
      <x:c r="A12" s="14" t="str">
        <x:v>REV-009</x:v>
      </x:c>
      <x:c r="B12" s="14" t="str">
        <x:v>Quantum computing with atomic qubit arrays: confronting the cost of connectivity</x:v>
      </x:c>
      <x:c r="C12" s="14" t="str">
        <x:v>Mark Saffman</x:v>
      </x:c>
      <x:c r="D12" s="14" t="str">
        <x:v>2025</x:v>
      </x:c>
      <x:c r="E12" s="14" t="str">
        <x:v>neutral_atom_qc; Rydberg_gates; connectivity; QEC</x:v>
      </x:c>
      <x:c r="F12" s="14" t="str">
        <x:v>Reference mining of current neutral-atom QC state and connectivity/QEC architecture papers.</x:v>
      </x:c>
      <x:c r="G12" s="14" t="str">
        <x:v>https://arxiv.org/abs/2505.11218</x:v>
      </x:c>
      <x:c r="H12" s="14" t="str">
        <x:v>Added in v1.8; arXiv HTML explicitly includes sections on Rydberg gate fidelity, connectivity and syndrome extraction.</x:v>
      </x:c>
    </x:row>
    <x:row r="13">
      <x:c r="A13" s="14" t="str">
        <x:v>REV-010</x:v>
      </x:c>
      <x:c r="B13" s="14" t="str">
        <x:v>Practical Use Cases of Neutral Atoms Quantum Computers</x:v>
      </x:c>
      <x:c r="C13" s="14" t="str">
        <x:v>review authors pending</x:v>
      </x:c>
      <x:c r="D13" s="14" t="str">
        <x:v>2026</x:v>
      </x:c>
      <x:c r="E13" s="14" t="str">
        <x:v>applications; neutral_atom_qc; Rydberg_arrays; optimization; ML</x:v>
      </x:c>
      <x:c r="F13" s="14" t="str">
        <x:v>Use to mine application-side references and companies/use cases, not necessarily group discovery.</x:v>
      </x:c>
      <x:c r="G13" s="14" t="str">
        <x:v>https://arxiv.org/html/2510.18732v2</x:v>
      </x:c>
      <x:c r="H13" s="14" t="str">
        <x:v>Added in v1.8; includes neutral atom platform discussion and references section.</x:v>
      </x:c>
    </x:row>
    <x:row r="14">
      <x:c r="A14" s="14" t="str">
        <x:v>REV-011</x:v>
      </x:c>
      <x:c r="B14" s="14" t="str">
        <x:v>Quantum Computing with Neutral Atoms</x:v>
      </x:c>
      <x:c r="C14" s="14" t="str">
        <x:v>Tommaso Macrì</x:v>
      </x:c>
      <x:c r="D14" s="14" t="str">
        <x:v>2025</x:v>
      </x:c>
      <x:c r="E14" s="14" t="str">
        <x:v>neutral_atom_qc; ecosystem; technology_overview</x:v>
      </x:c>
      <x:c r="F14" s="14" t="str">
        <x:v>Broad ecosystem review; useful mostly for industry/program layer and public map framing.</x:v>
      </x:c>
      <x:c r="G14" s="14" t="str">
        <x:v>https://link.springer.com/chapter/10.1007/978-3-031-90727-2_3</x:v>
      </x:c>
      <x:c r="H14" s="14" t="str">
        <x:v>Open access Springer chapter; not enough alone for group discovery.</x:v>
      </x:c>
    </x:row>
  </x:sheetData>
  <x:pageMargins left="0.7" right="0.7" top="0.75" bottom="0.75" header="0.3" footer="0.3"/>
  <x:tableParts count="2">
    <x:tablePart xmlns:r="http://schemas.openxmlformats.org/officeDocument/2006/relationships" r:id="Ra452feb2455f460f"/>
    <x:tablePart xmlns:r="http://schemas.openxmlformats.org/officeDocument/2006/relationships" r:id="R7ac0c5e905d241c6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9.880000114440918" hidden="0" customWidth="1"/>
    <x:col min="2" max="2" width="11.380000114440918" hidden="0" customWidth="1"/>
    <x:col min="3" max="3" width="13.630000114440918" hidden="0" customWidth="1"/>
    <x:col min="4" max="4" width="14.630000114440918" hidden="0" customWidth="1"/>
    <x:col min="5" max="5" width="14" hidden="0" customWidth="1"/>
    <x:col min="6" max="6" width="10" hidden="0" customWidth="1"/>
    <x:col min="7" max="7" width="13.380000114440918" hidden="0" customWidth="1"/>
    <x:col min="8" max="8" width="7.630000114440918" hidden="0" customWidth="1"/>
    <x:col min="9" max="9" width="7.25" hidden="0" customWidth="1"/>
  </x:cols>
  <x:sheetData>
    <x:row r="1" ht="30" customHeight="1">
      <x:c r="A1" s="80" t="str">
        <x:v>query_id</x:v>
      </x:c>
      <x:c r="B1" s="80" t="str">
        <x:v>query_text</x:v>
      </x:c>
      <x:c r="C1" s="80" t="str">
        <x:v>target_bucket</x:v>
      </x:c>
      <x:c r="D1" s="80" t="str">
        <x:v>include_reason</x:v>
      </x:c>
      <x:c r="E1" s="80" t="str">
        <x:v>exclude_notes</x:v>
      </x:c>
      <x:c r="F1" s="80" t="str">
        <x:v>date_run</x:v>
      </x:c>
      <x:c r="G1" s="80" t="str">
        <x:v>results_count</x:v>
      </x:c>
      <x:c r="H1" s="80" t="str">
        <x:v>status</x:v>
      </x:c>
      <x:c r="I1" s="80" t="str">
        <x:v>notes</x:v>
      </x:c>
    </x:row>
    <x:row r="2">
      <x:c r="A2" s="15" t="str">
        <x:v>Q-001</x:v>
      </x:c>
      <x:c r="B2" s="15" t="str">
        <x:v>"Rydberg atom arrays" "optical tweezers"</x:v>
      </x:c>
      <x:c r="C2" s="15" t="str">
        <x:v>core experimental/mixed</x:v>
      </x:c>
      <x:c r="D2" s="15" t="str">
        <x:v>Direct phrase match for target field.</x:v>
      </x:c>
      <x:c r="E2" s="15" t="str">
        <x:v>Exclude vapor-cell sensing-only results.</x:v>
      </x:c>
      <x:c r="F2" s="15" t="str">
        <x:v>2026-06-17</x:v>
      </x:c>
      <x:c r="G2" s="15"/>
      <x:c r="H2" s="15" t="str">
        <x:v>manual_seeded</x:v>
      </x:c>
      <x:c r="I2" s="15" t="str">
        <x:v>Use arXiv + Google Scholar + review citations; not yet an exhaustive API run.</x:v>
      </x:c>
    </x:row>
    <x:row r="3">
      <x:c r="A3" s="15" t="str">
        <x:v>Q-002</x:v>
      </x:c>
      <x:c r="B3" s="15" t="str">
        <x:v>"neutral atom quantum computing" Rydberg tweezers</x:v>
      </x:c>
      <x:c r="C3" s="15" t="str">
        <x:v>core experimental/company</x:v>
      </x:c>
      <x:c r="D3" s="15" t="str">
        <x:v>Catches company and architecture papers.</x:v>
      </x:c>
      <x:c r="E3" s="15" t="str">
        <x:v>Check whether platform is tweezers or lattice.</x:v>
      </x:c>
      <x:c r="F3" s="15" t="str">
        <x:v>2026-06-17</x:v>
      </x:c>
      <x:c r="G3" s="15"/>
      <x:c r="H3" s="15" t="str">
        <x:v>manual_seeded</x:v>
      </x:c>
      <x:c r="I3" s="15" t="str">
        <x:v>Good for PASQAL/QuEra/Atom/Infleqtion/company scan.</x:v>
      </x:c>
    </x:row>
    <x:row r="4">
      <x:c r="A4" s="15" t="str">
        <x:v>Q-003</x:v>
      </x:c>
      <x:c r="B4" s="15" t="str">
        <x:v>"Rydberg blockade" "optical tweezer array"</x:v>
      </x:c>
      <x:c r="C4" s="15" t="str">
        <x:v>core experimental/theory</x:v>
      </x:c>
      <x:c r="D4" s="15" t="str">
        <x:v>Finds gate and blockade work.</x:v>
      </x:c>
      <x:c r="E4" s="15" t="str">
        <x:v>Exclude non-neutral platforms.</x:v>
      </x:c>
      <x:c r="F4" s="15" t="str">
        <x:v>2026-06-17</x:v>
      </x:c>
      <x:c r="G4" s="15"/>
      <x:c r="H4" s="15" t="str">
        <x:v>manual_seeded</x:v>
      </x:c>
      <x:c r="I4" s="15" t="str">
        <x:v>Strong for gate groups and Saffman/Thompson/QRydDemo.</x:v>
      </x:c>
    </x:row>
    <x:row r="5">
      <x:c r="A5" s="15" t="str">
        <x:v>Q-004</x:v>
      </x:c>
      <x:c r="B5" s="15" t="str">
        <x:v>"reconfigurable atom arrays" Rydberg</x:v>
      </x:c>
      <x:c r="C5" s="15" t="str">
        <x:v>core/adjacent</x:v>
      </x:c>
      <x:c r="D5" s="15" t="str">
        <x:v>Captures array rearrangement + Rydberg simulation.</x:v>
      </x:c>
      <x:c r="E5" s="15" t="str">
        <x:v>Verify Rydberg involvement.</x:v>
      </x:c>
      <x:c r="F5" s="15" t="str">
        <x:v>2026-06-17</x:v>
      </x:c>
      <x:c r="G5" s="15"/>
      <x:c r="H5" s="15" t="str">
        <x:v>manual_seeded</x:v>
      </x:c>
      <x:c r="I5" s="15" t="str">
        <x:v>Useful for large-array and cryogenic platforms.</x:v>
      </x:c>
    </x:row>
    <x:row r="6">
      <x:c r="A6" s="15" t="str">
        <x:v>Q-005</x:v>
      </x:c>
      <x:c r="B6" s="15" t="str">
        <x:v>"alkaline-earth Rydberg" tweezers</x:v>
      </x:c>
      <x:c r="C6" s="15" t="str">
        <x:v>core/adjacent</x:v>
      </x:c>
      <x:c r="D6" s="15" t="str">
        <x:v>Finds Sr/Yb Rydberg tweezer groups.</x:v>
      </x:c>
      <x:c r="E6" s="15" t="str">
        <x:v>Keep separate from alkali Rb/Cs.</x:v>
      </x:c>
      <x:c r="F6" s="15" t="str">
        <x:v>2026-06-17</x:v>
      </x:c>
      <x:c r="G6" s="15"/>
      <x:c r="H6" s="15" t="str">
        <x:v>manual_seeded</x:v>
      </x:c>
      <x:c r="I6" s="15" t="str">
        <x:v>Important for Thompson, Caltech, Florence, Eindhoven, MPQ Yb/Sr.</x:v>
      </x:c>
    </x:row>
    <x:row r="7">
      <x:c r="A7" s="15" t="str">
        <x:v>Q-006</x:v>
      </x:c>
      <x:c r="B7" s="15" t="str">
        <x:v>"Rydberg atom array" error correction</x:v>
      </x:c>
      <x:c r="C7" s="15" t="str">
        <x:v>theory/mixed</x:v>
      </x:c>
      <x:c r="D7" s="15" t="str">
        <x:v>Discovers QEC, architecture, and benchmarking groups.</x:v>
      </x:c>
      <x:c r="E7" s="15" t="str">
        <x:v>Mark theory-only correctly.</x:v>
      </x:c>
      <x:c r="F7" s="15" t="str">
        <x:v>2026-06-17</x:v>
      </x:c>
      <x:c r="G7" s="15"/>
      <x:c r="H7" s="15" t="str">
        <x:v>manual_seeded</x:v>
      </x:c>
      <x:c r="I7" s="15" t="str">
        <x:v>Important for Lukin, QuEra, Atom, QPerfect and architecture/QEC theory.</x:v>
      </x:c>
    </x:row>
    <x:row r="8">
      <x:c r="A8" s="15" t="str">
        <x:v>Q-007</x:v>
      </x:c>
      <x:c r="B8" s="15" t="str">
        <x:v>"Rydberg arrays" "quantum simulation" theory</x:v>
      </x:c>
      <x:c r="C8" s="15" t="str">
        <x:v>theory</x:v>
      </x:c>
      <x:c r="D8" s="15" t="str">
        <x:v>Finds theory groups not tied to a single lab.</x:v>
      </x:c>
      <x:c r="E8" s="15" t="str">
        <x:v>Avoid generic many-body papers with no neutral-atom mapping.</x:v>
      </x:c>
      <x:c r="F8" s="15" t="str">
        <x:v>2026-06-17</x:v>
      </x:c>
      <x:c r="G8" s="15"/>
      <x:c r="H8" s="15" t="str">
        <x:v>manual_seeded</x:v>
      </x:c>
      <x:c r="I8" s="15" t="str">
        <x:v>Use to expand Pichler/Sachdev/Lesanovsky/Büchler-like nodes.</x:v>
      </x:c>
    </x:row>
    <x:row r="9">
      <x:c r="A9" s="15" t="str">
        <x:v>Q-008</x:v>
      </x:c>
      <x:c r="B9" s="15" t="str">
        <x:v>"neutral atom arrays" "quantum algorithms" Rydberg</x:v>
      </x:c>
      <x:c r="C9" s="15" t="str">
        <x:v>theory/company</x:v>
      </x:c>
      <x:c r="D9" s="15" t="str">
        <x:v>Finds algorithm/software teams and companies.</x:v>
      </x:c>
      <x:c r="E9" s="15" t="str">
        <x:v>Validate relevance to optical tweezers.</x:v>
      </x:c>
      <x:c r="F9" s="15" t="str">
        <x:v>2026-06-17</x:v>
      </x:c>
      <x:c r="G9" s="15"/>
      <x:c r="H9" s="15" t="str">
        <x:v>manual_seeded</x:v>
      </x:c>
      <x:c r="I9" s="15" t="str">
        <x:v>Use to expand software/company rows.</x:v>
      </x:c>
    </x:row>
    <x:row r="10">
      <x:c r="A10" t="str">
        <x:v>Q-009</x:v>
      </x:c>
      <x:c r="B10" t="str">
        <x:v>"dual-species" Rydberg "optical tweezers"</x:v>
      </x:c>
      <x:c r="C10" t="str">
        <x:v>core experimental</x:v>
      </x:c>
      <x:c r="D10" t="str">
        <x:v>Captures Bernien-style dual-species Rb/Cs and hybrid array architectures.</x:v>
      </x:c>
      <x:c r="E10" t="str">
        <x:v>Exclude non-tweezer dual-species BEC/lattice-only work.</x:v>
      </x:c>
      <x:c r="F10" t="str">
        <x:v>2026-06-17</x:v>
      </x:c>
      <x:c r="G10"/>
      <x:c r="H10" t="str">
        <x:v>manual_seeded</x:v>
      </x:c>
      <x:c r="I10" t="str">
        <x:v>Useful for scaling, QND and ancilla/data atom schemes.</x:v>
      </x:c>
    </x:row>
    <x:row r="11">
      <x:c r="A11" t="str">
        <x:v>Q-010</x:v>
      </x:c>
      <x:c r="B11" t="str">
        <x:v>"ytterbium" "Rydberg" "tweezer arrays"</x:v>
      </x:c>
      <x:c r="C11" t="str">
        <x:v>core/alkaline-earth</x:v>
      </x:c>
      <x:c r="D11" t="str">
        <x:v>Catches Kyoto, Thompson, Kaufman/Google and alkaline-earth/Yb work.</x:v>
      </x:c>
      <x:c r="E11" t="str">
        <x:v>Separate Yb imaging/metrology-only from Rydberg-gate work.</x:v>
      </x:c>
      <x:c r="F11" t="str">
        <x:v>2026-06-17</x:v>
      </x:c>
      <x:c r="G11"/>
      <x:c r="H11" t="str">
        <x:v>manual_seeded</x:v>
      </x:c>
      <x:c r="I11" t="str">
        <x:v>Strong for AELA/Yb expansion.</x:v>
      </x:c>
    </x:row>
    <x:row r="12">
      <x:c r="A12" t="str">
        <x:v>Q-011</x:v>
      </x:c>
      <x:c r="B12" t="str">
        <x:v>"Rydberg atom array" "quantum error correction" "neutral atom"</x:v>
      </x:c>
      <x:c r="C12" t="str">
        <x:v>theory/mixed/company</x:v>
      </x:c>
      <x:c r="D12" t="str">
        <x:v>Catches architecture/QEC papers beyond experimental hardware groups.</x:v>
      </x:c>
      <x:c r="E12" t="str">
        <x:v>Avoid generic QEC papers with no Rydberg mapping.</x:v>
      </x:c>
      <x:c r="F12" t="str">
        <x:v>2026-06-17</x:v>
      </x:c>
      <x:c r="G12"/>
      <x:c r="H12" t="str">
        <x:v>manual_seeded</x:v>
      </x:c>
      <x:c r="I12" t="str">
        <x:v>Use for Pupillo, Lukin, QuEra/Atom/Google-related architecture rows.</x:v>
      </x:c>
    </x:row>
    <x:row r="13">
      <x:c r="A13" t="str">
        <x:v>Q-012</x:v>
      </x:c>
      <x:c r="B13" t="str">
        <x:v>"Rydberg" "optical tweezers" "China" OR "Tsinghua"</x:v>
      </x:c>
      <x:c r="C13" t="str">
        <x:v>geographic coverage</x:v>
      </x:c>
      <x:c r="D13" t="str">
        <x:v>Targets China/Japan/Asia nodes often missed by European/US review seeds.</x:v>
      </x:c>
      <x:c r="E13" t="str">
        <x:v>Confirm with official group pages or arXiv affiliations.</x:v>
      </x:c>
      <x:c r="F13" t="str">
        <x:v>2026-06-17</x:v>
      </x:c>
      <x:c r="G13"/>
      <x:c r="H13" t="str">
        <x:v>manual_seeded</x:v>
      </x:c>
      <x:c r="I13" t="str">
        <x:v>Start Asia expansion.</x:v>
      </x:c>
    </x:row>
    <x:row r="14">
      <x:c r="A14" s="14" t="str">
        <x:v>Q-013</x:v>
      </x:c>
      <x:c r="B14" s="14" t="str">
        <x:v>("Rydberg atom array" OR "Rydberg atom arrays") AND ("2024" OR "2025" OR "2026")</x:v>
      </x:c>
      <x:c r="C14" s="14" t="str">
        <x:v>arxiv_2024_2026_core</x:v>
      </x:c>
      <x:c r="D14" s="14" t="str">
        <x:v>Broad catch-all for recent arXiv PI mining.</x:v>
      </x:c>
      <x:c r="E14" s="14" t="str">
        <x:v>Use actual date filter, not literal year text when running API.</x:v>
      </x:c>
      <x:c r="F14" s="14" t="str">
        <x:v>2026-06-17</x:v>
      </x:c>
      <x:c r="G14" s="14"/>
      <x:c r="H14" s="14" t="str">
        <x:v>planned_pi_mining</x:v>
      </x:c>
      <x:c r="I14" s="14" t="str">
        <x:v>Run split by year; deduplicate by arXiv ID.</x:v>
      </x:c>
    </x:row>
    <x:row r="15">
      <x:c r="A15" s="14" t="str">
        <x:v>Q-014</x:v>
      </x:c>
      <x:c r="B15" s="14" t="str">
        <x:v>("optical tweezers" AND Rydberg AND "neutral atom")</x:v>
      </x:c>
      <x:c r="C15" s="14" t="str">
        <x:v>arxiv_2024_2026_core</x:v>
      </x:c>
      <x:c r="D15" s="14" t="str">
        <x:v>High-precision query for target hardware.</x:v>
      </x:c>
      <x:c r="E15" s="14" t="str">
        <x:v>Exclude vapor-cell and molecule-only rows unless adjacent layer is desired.</x:v>
      </x:c>
      <x:c r="F15" s="14" t="str">
        <x:v>2026-06-17</x:v>
      </x:c>
      <x:c r="G15" s="14"/>
      <x:c r="H15" s="14" t="str">
        <x:v>planned_pi_mining</x:v>
      </x:c>
      <x:c r="I15" s="14" t="str">
        <x:v>Primary source for paper-level PI map.</x:v>
      </x:c>
    </x:row>
    <x:row r="16">
      <x:c r="A16" s="14" t="str">
        <x:v>Q-015</x:v>
      </x:c>
      <x:c r="B16" s="14" t="str">
        <x:v>("Rydberg blockade" AND ("tweezer" OR "tweezers") AND ("gate" OR "gates"))</x:v>
      </x:c>
      <x:c r="C16" s="14" t="str">
        <x:v>arxiv_2024_2026_gates</x:v>
      </x:c>
      <x:c r="D16" s="14" t="str">
        <x:v>Finds gate-focused PI nodes.</x:v>
      </x:c>
      <x:c r="E16" s="14" t="str">
        <x:v>Check if theory-only or experimental.</x:v>
      </x:c>
      <x:c r="F16" s="14" t="str">
        <x:v>2026-06-17</x:v>
      </x:c>
      <x:c r="G16" s="14"/>
      <x:c r="H16" s="14" t="str">
        <x:v>planned_pi_mining</x:v>
      </x:c>
      <x:c r="I16" s="14" t="str">
        <x:v>Useful for Saffman/Thompson/Endres-like nodes.</x:v>
      </x:c>
    </x:row>
    <x:row r="17">
      <x:c r="A17" s="14" t="str">
        <x:v>Q-016</x:v>
      </x:c>
      <x:c r="B17" s="14" t="str">
        <x:v>("neutral atom" AND "Rydberg" AND ("error correction" OR QEC))</x:v>
      </x:c>
      <x:c r="C17" s="14" t="str">
        <x:v>arxiv_2024_2026_qec</x:v>
      </x:c>
      <x:c r="D17" s="14" t="str">
        <x:v>Finds QEC/architecture groups and companies.</x:v>
      </x:c>
      <x:c r="E17" s="14" t="str">
        <x:v>Keep theory and mixed rows; mark experimental separately.</x:v>
      </x:c>
      <x:c r="F17" s="14" t="str">
        <x:v>2026-06-17</x:v>
      </x:c>
      <x:c r="G17" s="14"/>
      <x:c r="H17" s="14" t="str">
        <x:v>planned_pi_mining</x:v>
      </x:c>
      <x:c r="I17" s="14" t="str">
        <x:v>Core for theory/mixed expansion.</x:v>
      </x:c>
    </x:row>
    <x:row r="18">
      <x:c r="A18" s="14" t="str">
        <x:v>Q-017</x:v>
      </x:c>
      <x:c r="B18" s="14" t="str">
        <x:v>("alkaline-earth" OR strontium OR ytterbium) AND Rydberg AND tweezers</x:v>
      </x:c>
      <x:c r="C18" s="14" t="str">
        <x:v>arxiv_2024_2026_alkaline_earth</x:v>
      </x:c>
      <x:c r="D18" s="14" t="str">
        <x:v>Catches Sr/Yb Rydberg tweezer frontier.</x:v>
      </x:c>
      <x:c r="E18" s="14" t="str">
        <x:v>Avoid Sr/Yb tweezers without Rydberg.</x:v>
      </x:c>
      <x:c r="F18" s="14" t="str">
        <x:v>2026-06-17</x:v>
      </x:c>
      <x:c r="G18" s="14"/>
      <x:c r="H18" s="14" t="str">
        <x:v>planned_pi_mining</x:v>
      </x:c>
      <x:c r="I18" s="14" t="str">
        <x:v>Important for newer labs.</x:v>
      </x:c>
    </x:row>
    <x:row r="19">
      <x:c r="A19" t="str">
        <x:v>Q-018</x:v>
      </x:c>
      <x:c r="B19" t="str">
        <x:v>"neutral atom arrays" "Rydberg" "2024" OR "2025" OR "2026"</x:v>
      </x:c>
      <x:c r="C19" t="str">
        <x:v>arxiv_2024_2026_broad</x:v>
      </x:c>
      <x:c r="D19" t="str">
        <x:v>Broad recent neutral-atom/Rydberg catch-all for PI map expansion.</x:v>
      </x:c>
      <x:c r="E19" t="str">
        <x:v>Filter out vapor-cell sensing and cold-atom-only papers.</x:v>
      </x:c>
      <x:c r="F19" t="str">
        <x:v>2026-06-17</x:v>
      </x:c>
      <x:c r="G19" t="n">
        <x:v>28</x:v>
      </x:c>
      <x:c r="H19" t="str">
        <x:v>manual_systematic_pass_v0.8</x:v>
      </x:c>
      <x:c r="I19" t="str">
        <x:v>Used for v0.8 expansion; still not an exhaustive API export.</x:v>
      </x:c>
    </x:row>
    <x:row r="20">
      <x:c r="A20" t="str">
        <x:v>Q-019</x:v>
      </x:c>
      <x:c r="B20" t="str">
        <x:v>"Rydberg atom arrays" "quantum simulation"</x:v>
      </x:c>
      <x:c r="C20" t="str">
        <x:v>arxiv_2024_2026_theory_simulation</x:v>
      </x:c>
      <x:c r="D20" t="str">
        <x:v>Finds theory and analog simulation PI nodes.</x:v>
      </x:c>
      <x:c r="E20" t="str">
        <x:v>Mark theory-only rows clearly; do not mix with experimental core.</x:v>
      </x:c>
      <x:c r="F20" t="str">
        <x:v>2026-06-17</x:v>
      </x:c>
      <x:c r="G20" t="n">
        <x:v>10</x:v>
      </x:c>
      <x:c r="H20" t="str">
        <x:v>manual_systematic_pass_v0.8</x:v>
      </x:c>
      <x:c r="I20" t="str">
        <x:v>Good for Lesanovsky, Misguich, Serbyn, Carrasquilla-like theory nodes.</x:v>
      </x:c>
    </x:row>
    <x:row r="21">
      <x:c r="A21" t="str">
        <x:v>Q-020</x:v>
      </x:c>
      <x:c r="B21" t="str">
        <x:v>"neutral atom arrays" "compiler" OR "optimization"</x:v>
      </x:c>
      <x:c r="C21" t="str">
        <x:v>arxiv_2024_2026_software_algorithms</x:v>
      </x:c>
      <x:c r="D21" t="str">
        <x:v>Finds compiler/optimization/software/application layer.</x:v>
      </x:c>
      <x:c r="E21" t="str">
        <x:v>Exclude generic quantum algorithms not mapped to Rydberg arrays.</x:v>
      </x:c>
      <x:c r="F21" t="str">
        <x:v>2026-06-17</x:v>
      </x:c>
      <x:c r="G21" t="n">
        <x:v>6</x:v>
      </x:c>
      <x:c r="H21" t="str">
        <x:v>manual_systematic_pass_v0.8</x:v>
      </x:c>
      <x:c r="I21" t="str">
        <x:v>Populates software/company/theory layer for future map tags.</x:v>
      </x:c>
    </x:row>
    <x:row r="22">
      <x:c r="A22" t="str">
        <x:v>Q-021</x:v>
      </x:c>
      <x:c r="B22" t="str">
        <x:v>"Rydberg array" "cavity" OR "interconnect"</x:v>
      </x:c>
      <x:c r="C22" t="str">
        <x:v>arxiv_2024_2026_interfaces</x:v>
      </x:c>
      <x:c r="D22" t="str">
        <x:v>Finds cavity/network/interface groups.</x:v>
      </x:c>
      <x:c r="E22" t="str">
        <x:v>Keep separate from pure quantum networking with no neutral atoms.</x:v>
      </x:c>
      <x:c r="F22" t="str">
        <x:v>2026-06-17</x:v>
      </x:c>
      <x:c r="G22" t="n">
        <x:v>4</x:v>
      </x:c>
      <x:c r="H22" t="str">
        <x:v>manual_systematic_pass_v0.8</x:v>
      </x:c>
      <x:c r="I22" t="str">
        <x:v>Targets Covey/Vuletic-like interface nodes.</x:v>
      </x:c>
    </x:row>
    <x:row r="23">
      <x:c r="A23" t="str">
        <x:v>Q-022</x:v>
      </x:c>
      <x:c r="B23" t="str">
        <x:v>"dual-species" "Rydberg array" OR "Rb-Cs Rydberg"</x:v>
      </x:c>
      <x:c r="C23" t="str">
        <x:v>arxiv_2024_2026_dual_species</x:v>
      </x:c>
      <x:c r="D23" t="str">
        <x:v>Finds dual-species architectures for QEC and ancilla/data workflows.</x:v>
      </x:c>
      <x:c r="E23" t="str">
        <x:v>Validate species and optical tweezer implementation.</x:v>
      </x:c>
      <x:c r="F23" t="str">
        <x:v>2026-06-17</x:v>
      </x:c>
      <x:c r="G23" t="n">
        <x:v>5</x:v>
      </x:c>
      <x:c r="H23" t="str">
        <x:v>manual_systematic_pass_v0.8</x:v>
      </x:c>
      <x:c r="I23" t="str">
        <x:v>Extends Bernien/Saffman/Ni/Pan-like dual-species branch.</x:v>
      </x:c>
    </x:row>
    <x:row r="24" ht="48" customHeight="1">
      <x:c r="A24" s="14" t="str">
        <x:v>Q-023</x:v>
      </x:c>
      <x:c r="B24" s="14" t="str">
        <x:v>"Rydberg atom array" entanglement gate rapid adiabatic passage 2024</x:v>
      </x:c>
      <x:c r="C24" s="14" t="str">
        <x:v>arxiv_2024_2026_theory_gates</x:v>
      </x:c>
      <x:c r="D24" s="14" t="str">
        <x:v>Finds control/gate-theory papers for Rydberg atom arrays.</x:v>
      </x:c>
      <x:c r="E24" s="14" t="str">
        <x:v>Mark theory-only and affiliation-pending rows explicitly.</x:v>
      </x:c>
      <x:c r="F24" s="14" t="str">
        <x:v>2026-06-17</x:v>
      </x:c>
      <x:c r="G24" s="14" t="n">
        <x:v>1</x:v>
      </x:c>
      <x:c r="H24" s="14" t="str">
        <x:v>manual_v1.1_batch</x:v>
      </x:c>
      <x:c r="I24" s="14" t="str">
        <x:v>Added 2408.17048.</x:v>
      </x:c>
    </x:row>
    <x:row r="25" ht="48" customHeight="1">
      <x:c r="A25" s="14" t="str">
        <x:v>Q-024</x:v>
      </x:c>
      <x:c r="B25" s="14" t="str">
        <x:v>"globally controlled" "Rydberg-atom array" 2025 2026</x:v>
      </x:c>
      <x:c r="C25" s="14" t="str">
        <x:v>arxiv_2024_2026_global_control</x:v>
      </x:c>
      <x:c r="D25" s="14" t="str">
        <x:v>Finds global-control analog simulation and optimal-control work.</x:v>
      </x:c>
      <x:c r="E25" s="14" t="str">
        <x:v>Separate true experiments from theory-only work.</x:v>
      </x:c>
      <x:c r="F25" s="14" t="str">
        <x:v>2026-06-17</x:v>
      </x:c>
      <x:c r="G25" s="14" t="n">
        <x:v>1</x:v>
      </x:c>
      <x:c r="H25" s="14" t="str">
        <x:v>manual_v1.1_batch</x:v>
      </x:c>
      <x:c r="I25" s="14" t="str">
        <x:v>Added 2508.19075.</x:v>
      </x:c>
    </x:row>
    <x:row r="26" ht="48" customHeight="1">
      <x:c r="A26" s="14" t="str">
        <x:v>Q-025</x:v>
      </x:c>
      <x:c r="B26" s="14" t="str">
        <x:v>"QuEra Aquila" "Rydberg atom array" application 2025</x:v>
      </x:c>
      <x:c r="C26" s="14" t="str">
        <x:v>arxiv_2024_2026_applications</x:v>
      </x:c>
      <x:c r="D26" s="14" t="str">
        <x:v>Finds application-layer papers using existing Rydberg-array processors.</x:v>
      </x:c>
      <x:c r="E26" s="14" t="str">
        <x:v>Do not promote as hardware groups unless affiliation is strategic.</x:v>
      </x:c>
      <x:c r="F26" s="14" t="str">
        <x:v>2026-06-17</x:v>
      </x:c>
      <x:c r="G26" s="14" t="n">
        <x:v>1</x:v>
      </x:c>
      <x:c r="H26" s="14" t="str">
        <x:v>manual_v1.1_batch</x:v>
      </x:c>
      <x:c r="I26" s="14" t="str">
        <x:v>Added 2512.18612.</x:v>
      </x:c>
    </x:row>
    <x:row r="27" ht="48" customHeight="1">
      <x:c r="A27" s="14" t="str">
        <x:v>Q-026</x:v>
      </x:c>
      <x:c r="B27" s="14" t="str">
        <x:v>"coherent Rydberg excitation" "atom array" 2026</x:v>
      </x:c>
      <x:c r="C27" s="14" t="str">
        <x:v>arxiv_2024_2026_rydberg_hardware</x:v>
      </x:c>
      <x:c r="D27" s="14" t="str">
        <x:v>Finds laser/Rydberg excitation technical papers and emerging hardware groups.</x:v>
      </x:c>
      <x:c r="E27" s="14" t="str">
        <x:v>Needs affiliation and experimental setup validation before DB promotion.</x:v>
      </x:c>
      <x:c r="F27" s="14" t="str">
        <x:v>2026-06-17</x:v>
      </x:c>
      <x:c r="G27" s="14" t="n">
        <x:v>2</x:v>
      </x:c>
      <x:c r="H27" s="14" t="str">
        <x:v>manual_v1.1_batch</x:v>
      </x:c>
      <x:c r="I27" s="14" t="str">
        <x:v>Added 2604.13436 and related setup rows.</x:v>
      </x:c>
    </x:row>
    <x:row r="28" ht="48" customHeight="1">
      <x:c r="A28" s="14" t="str">
        <x:v>Q-027</x:v>
      </x:c>
      <x:c r="B28" s="14" t="str">
        <x:v>"mixed-species atomic arrays" optical tweezers 2024 2025</x:v>
      </x:c>
      <x:c r="C28" s="14" t="str">
        <x:v>arxiv_2024_2026_mixed_species_arrays</x:v>
      </x:c>
      <x:c r="D28" s="14" t="str">
        <x:v>Finds dual/mixed species tweezer infrastructure for future Rydberg/QEC architectures.</x:v>
      </x:c>
      <x:c r="E28" s="14" t="str">
        <x:v>Keep distinct from actual Rydberg gate results.</x:v>
      </x:c>
      <x:c r="F28" s="14" t="str">
        <x:v>2026-06-17</x:v>
      </x:c>
      <x:c r="G28" s="14" t="n">
        <x:v>2</x:v>
      </x:c>
      <x:c r="H28" s="14" t="str">
        <x:v>manual_v1.1_batch</x:v>
      </x:c>
      <x:c r="I28" s="14" t="str">
        <x:v>Added 2501.02248 and 2412.20261.</x:v>
      </x:c>
    </x:row>
    <x:row r="29" ht="48" customHeight="1">
      <x:c r="A29" s="14" t="str">
        <x:v>Q-028</x:v>
      </x:c>
      <x:c r="B29" s="14" t="str">
        <x:v>"Rydberg atom arrays" "finite temperature" tensor network 2025</x:v>
      </x:c>
      <x:c r="C29" s="14" t="str">
        <x:v>arxiv_2024_2026_theory_manybody</x:v>
      </x:c>
      <x:c r="D29" s="14" t="str">
        <x:v>Finds theory groups using tensor-network/finite-temperature methods on Rydberg arrays.</x:v>
      </x:c>
      <x:c r="E29" s="14" t="str">
        <x:v>Mark theory as theory; do not require direct experiment.</x:v>
      </x:c>
      <x:c r="F29" s="14" t="str">
        <x:v>2026-06-17</x:v>
      </x:c>
      <x:c r="G29" s="14" t="n">
        <x:v>1</x:v>
      </x:c>
      <x:c r="H29" s="14" t="str">
        <x:v>manual_v1.1_batch</x:v>
      </x:c>
      <x:c r="I29" s="14" t="str">
        <x:v>Added 2503.18413.</x:v>
      </x:c>
    </x:row>
    <x:row r="30">
      <x:c r="A30" s="14" t="str">
        <x:v>Q-029</x:v>
      </x:c>
      <x:c r="B30" s="14" t="str">
        <x:v>"measurement-free" "toric-code" "Rydberg array"</x:v>
      </x:c>
      <x:c r="C30" s="14" t="str">
        <x:v>QEC/global-control theory</x:v>
      </x:c>
      <x:c r="D30" s="14" t="str">
        <x:v>Catches QEC papers that avoid measurement/local addressing overhead.</x:v>
      </x:c>
      <x:c r="E30" s="14" t="str">
        <x:v>Theory only; validate platform specificity.</x:v>
      </x:c>
      <x:c r="F30" s="14" t="str">
        <x:v>2026-06-18</x:v>
      </x:c>
      <x:c r="G30" s="14" t="n">
        <x:v>1</x:v>
      </x:c>
      <x:c r="H30" s="14" t="str">
        <x:v>manual_v1.4</x:v>
      </x:c>
      <x:c r="I30" s="14" t="str">
        <x:v>Added from arXiv 2606.12030.</x:v>
      </x:c>
    </x:row>
    <x:row r="31">
      <x:c r="A31" s="14" t="str">
        <x:v>Q-030</x:v>
      </x:c>
      <x:c r="B31" s="14" t="str">
        <x:v>"phase-stable hologram" "Rydberg atom array"</x:v>
      </x:c>
      <x:c r="C31" s="14" t="str">
        <x:v>control/infrastructure</x:v>
      </x:c>
      <x:c r="D31" s="14" t="str">
        <x:v>Catches hologram/SLM/dynamic-tweezer reconfiguration algorithms.</x:v>
      </x:c>
      <x:c r="E31" s="14" t="str">
        <x:v>May be algorithm-only; keep in paper layer first.</x:v>
      </x:c>
      <x:c r="F31" s="14" t="str">
        <x:v>2026-06-18</x:v>
      </x:c>
      <x:c r="G31" s="14" t="n">
        <x:v>1</x:v>
      </x:c>
      <x:c r="H31" s="14" t="str">
        <x:v>manual_v1.4</x:v>
      </x:c>
      <x:c r="I31" s="14" t="str">
        <x:v>Added from arXiv 2604.04600.</x:v>
      </x:c>
    </x:row>
    <x:row r="32">
      <x:c r="A32" s="14" t="str">
        <x:v>Q-031</x:v>
      </x:c>
      <x:c r="B32" s="14" t="str">
        <x:v>"metastable-state encoding" "Yb atom arrays" Rydberg</x:v>
      </x:c>
      <x:c r="C32" s="14" t="str">
        <x:v>Yb architecture/QEC</x:v>
      </x:c>
      <x:c r="D32" s="14" t="str">
        <x:v>Catches alkaline-earth architecture and QEC encodings.</x:v>
      </x:c>
      <x:c r="E32" s="14" t="str">
        <x:v>Architecture papers may not be experimental.</x:v>
      </x:c>
      <x:c r="F32" s="14" t="str">
        <x:v>2026-06-18</x:v>
      </x:c>
      <x:c r="G32" s="14" t="n">
        <x:v>1</x:v>
      </x:c>
      <x:c r="H32" s="14" t="str">
        <x:v>manual_v1.4</x:v>
      </x:c>
      <x:c r="I32" s="14" t="str">
        <x:v>Added from arXiv 2606.08453.</x:v>
      </x:c>
    </x:row>
    <x:row r="33">
      <x:c r="A33" s="14" t="str">
        <x:v>Q-032</x:v>
      </x:c>
      <x:c r="B33" s="14" t="str">
        <x:v>"optimal control" "Rydberg gates" "reinforcement learning"</x:v>
      </x:c>
      <x:c r="C33" s="14" t="str">
        <x:v>optimal-control theory</x:v>
      </x:c>
      <x:c r="D33" s="14" t="str">
        <x:v>Catches control-theory papers for neutral-atom Rydberg gates.</x:v>
      </x:c>
      <x:c r="E33" s="14" t="str">
        <x:v>Avoid generic quantum-control papers without neutral atoms.</x:v>
      </x:c>
      <x:c r="F33" s="14" t="str">
        <x:v>2026-06-18</x:v>
      </x:c>
      <x:c r="G33" s="14" t="n">
        <x:v>1</x:v>
      </x:c>
      <x:c r="H33" s="14" t="str">
        <x:v>manual_v1.4</x:v>
      </x:c>
      <x:c r="I33" s="14" t="str">
        <x:v>Added from arXiv 2605.04628.</x:v>
      </x:c>
    </x:row>
    <x:row r="34">
      <x:c r="A34" s="14" t="str">
        <x:v>Q-033</x:v>
      </x:c>
      <x:c r="B34" s="14" t="str">
        <x:v>"electric field control" "Rydberg states" atoms</x:v>
      </x:c>
      <x:c r="C34" s="14" t="str">
        <x:v>Rydberg hardware/infrastructure</x:v>
      </x:c>
      <x:c r="D34" s="14" t="str">
        <x:v>Catches technical papers about stray-field control and Rydberg-sensitive hardware.</x:v>
      </x:c>
      <x:c r="E34" s="14" t="str">
        <x:v>Often not tweezer-array-specific; classify as enabling layer.</x:v>
      </x:c>
      <x:c r="F34" s="14" t="str">
        <x:v>2026-06-18</x:v>
      </x:c>
      <x:c r="G34" s="14" t="n">
        <x:v>1</x:v>
      </x:c>
      <x:c r="H34" s="14" t="str">
        <x:v>manual_v1.4</x:v>
      </x:c>
      <x:c r="I34" s="14" t="str">
        <x:v>Added from arXiv 2409.11865.</x:v>
      </x:c>
    </x:row>
    <x:row r="35">
      <x:c r="A35" s="14" t="str">
        <x:v>Q-034</x:v>
      </x:c>
      <x:c r="B35" s="14" t="str">
        <x:v>"circular Rydberg" "optical tweezers"</x:v>
      </x:c>
      <x:c r="C35" s="14" t="str">
        <x:v>circular Rydberg tweezers</x:v>
      </x:c>
      <x:c r="D35" s="14" t="str">
        <x:v>Catches circular-state tweezer platforms adjacent to low-l Rydberg arrays.</x:v>
      </x:c>
      <x:c r="E35" s="14" t="str">
        <x:v>Keep separate layer; not always standard quantum processor arrays.</x:v>
      </x:c>
      <x:c r="F35" s="14" t="str">
        <x:v>2026-06-18</x:v>
      </x:c>
      <x:c r="G35" s="14" t="n">
        <x:v>3</x:v>
      </x:c>
      <x:c r="H35" s="14" t="str">
        <x:v>manual_v1.4</x:v>
      </x:c>
      <x:c r="I35" s="14" t="str">
        <x:v>Added circular Rydberg / Rydberg molecule rows.</x:v>
      </x:c>
    </x:row>
    <x:row r="36">
      <x:c r="A36" s="14" t="str">
        <x:v>Q-035</x:v>
      </x:c>
      <x:c r="B36" s="14" t="str">
        <x:v>"optical cooling" "trapped atom" spin tweezer Rydberg</x:v>
      </x:c>
      <x:c r="C36" s="14" t="str">
        <x:v>tweezer enabling theory</x:v>
      </x:c>
      <x:c r="D36" s="14" t="str">
        <x:v>Catches cooling theory relevant to Rydberg and molecular gates.</x:v>
      </x:c>
      <x:c r="E36" s="14" t="str">
        <x:v>Adjacent enabling layer.</x:v>
      </x:c>
      <x:c r="F36" s="14" t="str">
        <x:v>2026-06-18</x:v>
      </x:c>
      <x:c r="G36" s="14" t="n">
        <x:v>1</x:v>
      </x:c>
      <x:c r="H36" s="14" t="str">
        <x:v>manual_v1.4</x:v>
      </x:c>
      <x:c r="I36" s="14" t="str">
        <x:v>Added arXiv 2406.19153.</x:v>
      </x:c>
    </x:row>
    <x:row r="37">
      <x:c r="A37" s="14" t="str">
        <x:v>Q-036</x:v>
      </x:c>
      <x:c r="B37" s="14" t="str">
        <x:v>"Rydberg atom arrays" "molecular dynamics"</x:v>
      </x:c>
      <x:c r="C37" s="14" t="str">
        <x:v>theory/application</x:v>
      </x:c>
      <x:c r="D37" s="14" t="str">
        <x:v>Catches molecular-dynamics simulation proposals with Rydberg arrays.</x:v>
      </x:c>
      <x:c r="E37" s="14" t="str">
        <x:v>Theory/application, not hardware.</x:v>
      </x:c>
      <x:c r="F37" s="14" t="str">
        <x:v>2026-06-18</x:v>
      </x:c>
      <x:c r="G37" s="14" t="n">
        <x:v>1</x:v>
      </x:c>
      <x:c r="H37" s="14" t="str">
        <x:v>manual_v1.4</x:v>
      </x:c>
      <x:c r="I37" s="14" t="str">
        <x:v>Added arXiv 2506.09865.</x:v>
      </x:c>
    </x:row>
    <x:row r="38">
      <x:c r="A38" s="14" t="str">
        <x:v>Q-037</x:v>
      </x:c>
      <x:c r="B38" s="14" t="str">
        <x:v>"Lamb-Dicke" "Rydberg" "optical tweezer array"</x:v>
      </x:c>
      <x:c r="C38" s="14" t="str">
        <x:v>spin-motion theory</x:v>
      </x:c>
      <x:c r="D38" s="14" t="str">
        <x:v>Catches motional/Rydberg coupling papers.</x:v>
      </x:c>
      <x:c r="E38" s="14" t="str">
        <x:v>Theory-only; verify affiliation separately.</x:v>
      </x:c>
      <x:c r="F38" s="14" t="str">
        <x:v>2026-06-18</x:v>
      </x:c>
      <x:c r="G38" s="14" t="n">
        <x:v>1</x:v>
      </x:c>
      <x:c r="H38" s="14" t="str">
        <x:v>manual_v1.4</x:v>
      </x:c>
      <x:c r="I38" s="14" t="str">
        <x:v>Added arXiv 2506.22669.</x:v>
      </x:c>
    </x:row>
    <x:row r="39">
      <x:c r="A39" s="14" t="str">
        <x:v>Q-038</x:v>
      </x:c>
      <x:c r="B39" s="14" t="str">
        <x:v>"Rydberg atomic fractal" "optical tweezers"</x:v>
      </x:c>
      <x:c r="C39" s="14" t="str">
        <x:v>mixed theory/experiment</x:v>
      </x:c>
      <x:c r="D39" s="14" t="str">
        <x:v>Catches non-standard geometries/fractal tweezer-array Rydberg papers.</x:v>
      </x:c>
      <x:c r="E39" s="14" t="str">
        <x:v>Need split theory vs experimental groups.</x:v>
      </x:c>
      <x:c r="F39" s="14" t="str">
        <x:v>2026-06-18</x:v>
      </x:c>
      <x:c r="G39" s="14" t="n">
        <x:v>1</x:v>
      </x:c>
      <x:c r="H39" s="14" t="str">
        <x:v>manual_v1.4</x:v>
      </x:c>
      <x:c r="I39" s="14" t="str">
        <x:v>Added arXiv 2509.03514.</x:v>
      </x:c>
    </x:row>
    <x:row r="40">
      <x:c r="A40" s="14" t="str">
        <x:v>Q-039</x:v>
      </x:c>
      <x:c r="B40" s="14" t="str">
        <x:v>"non-perfect tweezers" "Rydberg atoms"</x:v>
      </x:c>
      <x:c r="C40" s="14" t="str">
        <x:v>imperfections/disorder theory</x:v>
      </x:c>
      <x:c r="D40" s="14" t="str">
        <x:v>Catches theory on tweezer imperfections and disorder.</x:v>
      </x:c>
      <x:c r="E40" s="14" t="str">
        <x:v>Useful for theory layer, not hardware.</x:v>
      </x:c>
      <x:c r="F40" s="14" t="str">
        <x:v>2026-06-18</x:v>
      </x:c>
      <x:c r="G40" s="14" t="n">
        <x:v>1</x:v>
      </x:c>
      <x:c r="H40" s="14" t="str">
        <x:v>manual_v1.4</x:v>
      </x:c>
      <x:c r="I40" s="14" t="str">
        <x:v>Added arXiv 2506.11985.</x:v>
      </x:c>
    </x:row>
    <x:row r="41">
      <x:c r="A41" s="14" t="str">
        <x:v>Q-040</x:v>
      </x:c>
      <x:c r="B41" s="14" t="str">
        <x:v>"spin-motion coupling" "Rydberg atoms" "optical tweezers"</x:v>
      </x:c>
      <x:c r="C41" s="14" t="str">
        <x:v>spin-motion experiment</x:v>
      </x:c>
      <x:c r="D41" s="14" t="str">
        <x:v>Catches experimental spin-motion and macrodimer-related papers.</x:v>
      </x:c>
      <x:c r="E41" s="14" t="str">
        <x:v>May duplicate Palaiseau node.</x:v>
      </x:c>
      <x:c r="F41" s="14" t="str">
        <x:v>2026-06-18</x:v>
      </x:c>
      <x:c r="G41" s="14" t="n">
        <x:v>1</x:v>
      </x:c>
      <x:c r="H41" s="14" t="str">
        <x:v>manual_v1.4</x:v>
      </x:c>
      <x:c r="I41" s="14" t="str">
        <x:v>Added arXiv 2508.08899.</x:v>
      </x:c>
    </x:row>
    <x:row r="42">
      <x:c r="A42" s="14" t="str">
        <x:v>Q-041</x:v>
      </x:c>
      <x:c r="B42" s="14" t="str">
        <x:v>"spin-phonon coupling" "Rydberg atom arrays"</x:v>
      </x:c>
      <x:c r="C42" s="14" t="str">
        <x:v>spin-phonon theory</x:v>
      </x:c>
      <x:c r="D42" s="14" t="str">
        <x:v>Catches motional many-body theory in Rydberg arrays.</x:v>
      </x:c>
      <x:c r="E42" s="14" t="str">
        <x:v>Theory-only.</x:v>
      </x:c>
      <x:c r="F42" s="14" t="str">
        <x:v>2026-06-18</x:v>
      </x:c>
      <x:c r="G42" s="14" t="n">
        <x:v>1</x:v>
      </x:c>
      <x:c r="H42" s="14" t="str">
        <x:v>manual_v1.4</x:v>
      </x:c>
      <x:c r="I42" s="14" t="str">
        <x:v>Added arXiv 2507.16751.</x:v>
      </x:c>
    </x:row>
    <x:row r="43">
      <x:c r="A43" s="14" t="str">
        <x:v>Q-042</x:v>
      </x:c>
      <x:c r="B43" s="14" t="str">
        <x:v>"spin-glass" "amorphous arrays" "Rydberg atoms"</x:v>
      </x:c>
      <x:c r="C43" s="14" t="str">
        <x:v>amorphous-array theory</x:v>
      </x:c>
      <x:c r="D43" s="14" t="str">
        <x:v>Catches amorphous/disordered Rydberg-array simulation proposals.</x:v>
      </x:c>
      <x:c r="E43" s="14" t="str">
        <x:v>Theory-only; needs affiliation cleanup.</x:v>
      </x:c>
      <x:c r="F43" s="14" t="str">
        <x:v>2026-06-18</x:v>
      </x:c>
      <x:c r="G43" s="14" t="n">
        <x:v>1</x:v>
      </x:c>
      <x:c r="H43" s="14" t="str">
        <x:v>manual_v1.4</x:v>
      </x:c>
      <x:c r="I43" s="14" t="str">
        <x:v>Added arXiv 2505.05117.</x:v>
      </x:c>
    </x:row>
    <x:row r="44">
      <x:c r="A44" s="14" t="str">
        <x:v>Q-043</x:v>
      </x:c>
      <x:c r="B44" s="14" t="str">
        <x:v>"tweezer-assisted" "atomic arrays" "optical cavity"</x:v>
      </x:c>
      <x:c r="C44" s="14" t="str">
        <x:v>cavity/interface adjacent</x:v>
      </x:c>
      <x:c r="D44" s="14" t="str">
        <x:v>Catches cavity/tweezer interface papers adjacent to neutral-atom arrays.</x:v>
      </x:c>
      <x:c r="E44" s="14" t="str">
        <x:v>Rydberg often not central; keep adjacent.</x:v>
      </x:c>
      <x:c r="F44" s="14" t="str">
        <x:v>2026-06-18</x:v>
      </x:c>
      <x:c r="G44" s="14" t="n">
        <x:v>1</x:v>
      </x:c>
      <x:c r="H44" s="14" t="str">
        <x:v>manual_v1.4</x:v>
      </x:c>
      <x:c r="I44" s="14" t="str">
        <x:v>Added arXiv 2502.13560.</x:v>
      </x:c>
    </x:row>
    <x:row r="45">
      <x:c r="A45" t="str">
        <x:v>Q-044</x:v>
      </x:c>
      <x:c r="B45" t="str">
        <x:v>"circular Rydberg atoms" "optical tweezers"</x:v>
      </x:c>
      <x:c r="C45" t="str">
        <x:v>circular Rydberg / adjacent core</x:v>
      </x:c>
      <x:c r="D45" t="str">
        <x:v>Captures circular-Rydberg tweezer experiments, a potentially separate layer.</x:v>
      </x:c>
      <x:c r="E45" t="str">
        <x:v>Do not merge automatically with ground-state neutral atom processors.</x:v>
      </x:c>
      <x:c r="F45" t="str">
        <x:v>2026-06-18</x:v>
      </x:c>
      <x:c r="G45"/>
      <x:c r="H45" t="str">
        <x:v>manual_seeded_v1_5</x:v>
      </x:c>
      <x:c r="I45" t="str">
        <x:v>Created after v1.4 circular Rydberg batch.</x:v>
      </x:c>
    </x:row>
    <x:row r="46">
      <x:c r="A46" t="str">
        <x:v>Q-045</x:v>
      </x:c>
      <x:c r="B46" t="str">
        <x:v>"Rydberg-dressed atom arrays"</x:v>
      </x:c>
      <x:c r="C46" t="str">
        <x:v>theory / quantum simulation</x:v>
      </x:c>
      <x:c r="D46" t="str">
        <x:v>Catches theory using dressed interactions rather than full blockade gates.</x:v>
      </x:c>
      <x:c r="E46" t="str">
        <x:v>Exclude vapor-cell EIT-only and non-array localization papers unless tied to tweezers.</x:v>
      </x:c>
      <x:c r="F46" t="str">
        <x:v>2026-06-18</x:v>
      </x:c>
      <x:c r="G46"/>
      <x:c r="H46" t="str">
        <x:v>manual_seeded_v1_5</x:v>
      </x:c>
      <x:c r="I46" t="str">
        <x:v>Relevant for Jing Qian and related theory nodes.</x:v>
      </x:c>
    </x:row>
    <x:row r="47">
      <x:c r="A47" t="str">
        <x:v>Q-046</x:v>
      </x:c>
      <x:c r="B47" t="str">
        <x:v>"multispecies Rydberg arrays"</x:v>
      </x:c>
      <x:c r="C47" t="str">
        <x:v>theory / mixed</x:v>
      </x:c>
      <x:c r="D47" t="str">
        <x:v>Captures dual-species and multi-component Rydberg array theory/experiments.</x:v>
      </x:c>
      <x:c r="E47" t="str">
        <x:v>Check whether optical tweezers are explicit or only generic arrays.</x:v>
      </x:c>
      <x:c r="F47" t="str">
        <x:v>2026-06-18</x:v>
      </x:c>
      <x:c r="G47"/>
      <x:c r="H47" t="str">
        <x:v>manual_seeded_v1_5</x:v>
      </x:c>
      <x:c r="I47" t="str">
        <x:v>Useful for Chepiga, Ni, Bernien, Lukin branches.</x:v>
      </x:c>
    </x:row>
    <x:row r="48">
      <x:c r="A48" t="str">
        <x:v>Q-047</x:v>
      </x:c>
      <x:c r="B48" t="str">
        <x:v>"strontium Rydberg" "optical tweezer"</x:v>
      </x:c>
      <x:c r="C48" t="str">
        <x:v>alkaline-earth experimental</x:v>
      </x:c>
      <x:c r="D48" t="str">
        <x:v>High-yield query for Sr platforms and QPU buildouts.</x:v>
      </x:c>
      <x:c r="E48" t="str">
        <x:v>Separate true Rydberg results from Sr tweezer preparation-only work.</x:v>
      </x:c>
      <x:c r="F48" t="str">
        <x:v>2026-06-18</x:v>
      </x:c>
      <x:c r="G48"/>
      <x:c r="H48" t="str">
        <x:v>manual_seeded_v1_5</x:v>
      </x:c>
      <x:c r="I48" t="str">
        <x:v>Key for LENS, Dutch KAT-1, Munich, Caltech, ICFO candidates.</x:v>
      </x:c>
    </x:row>
    <x:row r="49">
      <x:c r="A49" t="str">
        <x:v>Q-048</x:v>
      </x:c>
      <x:c r="B49" t="str">
        <x:v>"ytterbium Rydberg" "optical tweezer"</x:v>
      </x:c>
      <x:c r="C49" t="str">
        <x:v>alkaline-earth experimental</x:v>
      </x:c>
      <x:c r="D49" t="str">
        <x:v>High-yield query for Yb tweezer Rydberg groups.</x:v>
      </x:c>
      <x:c r="E49" t="str">
        <x:v>Separate trapped Rydberg lifetime work from full gate/simulation platforms.</x:v>
      </x:c>
      <x:c r="F49" t="str">
        <x:v>2026-06-18</x:v>
      </x:c>
      <x:c r="G49"/>
      <x:c r="H49" t="str">
        <x:v>manual_seeded_v1_5</x:v>
      </x:c>
      <x:c r="I49" t="str">
        <x:v>Key for Thompson, JILA, MPQ Yb.</x:v>
      </x:c>
    </x:row>
    <x:row r="50">
      <x:c r="A50" t="str">
        <x:v>Q-049</x:v>
      </x:c>
      <x:c r="B50" t="str">
        <x:v>"Lamb-Dicke" "Rydberg atoms" "optical tweezer"</x:v>
      </x:c>
      <x:c r="C50" t="str">
        <x:v>motional dynamics theory</x:v>
      </x:c>
      <x:c r="D50" t="str">
        <x:v>Captures spin-motion and trap-state theory.</x:v>
      </x:c>
      <x:c r="E50" t="str">
        <x:v>Exclude generic Lamb-Dicke cooling papers with no Rydberg.</x:v>
      </x:c>
      <x:c r="F50" t="str">
        <x:v>2026-06-18</x:v>
      </x:c>
      <x:c r="G50"/>
      <x:c r="H50" t="str">
        <x:v>manual_seeded_v1_5</x:v>
      </x:c>
      <x:c r="I50" t="str">
        <x:v>Added for Mathey and spin-motion papers.</x:v>
      </x:c>
    </x:row>
    <x:row r="51">
      <x:c r="A51" t="str">
        <x:v>Q-050</x:v>
      </x:c>
      <x:c r="B51" t="str">
        <x:v>"Rydberg atomic fractal" "optical tweezers"</x:v>
      </x:c>
      <x:c r="C51" t="str">
        <x:v>exotic geometry / quantum simulation</x:v>
      </x:c>
      <x:c r="D51" t="str">
        <x:v>Catches fractal-geometry experiments that normal queries may miss.</x:v>
      </x:c>
      <x:c r="E51" t="str">
        <x:v>Check whether experiment/theory split should become separate nodes.</x:v>
      </x:c>
      <x:c r="F51" t="str">
        <x:v>2026-06-18</x:v>
      </x:c>
      <x:c r="G51"/>
      <x:c r="H51" t="str">
        <x:v>manual_seeded_v1_5</x:v>
      </x:c>
      <x:c r="I51" t="str">
        <x:v>Added for Dutch fractal Sr experiment.</x:v>
      </x:c>
    </x:row>
    <x:row r="52">
      <x:c r="A52" t="str">
        <x:v>Q-051</x:v>
      </x:c>
      <x:c r="B52" t="str">
        <x:v>"global control" "Rydberg arrays"</x:v>
      </x:c>
      <x:c r="C52" t="str">
        <x:v>theory / control</x:v>
      </x:c>
      <x:c r="D52" t="str">
        <x:v>Captures global-control and optimal-control theory tied to Rydberg arrays.</x:v>
      </x:c>
      <x:c r="E52" t="str">
        <x:v>Exclude papers not implemented or implementable on neutral-atom arrays.</x:v>
      </x:c>
      <x:c r="F52" t="str">
        <x:v>2026-06-18</x:v>
      </x:c>
      <x:c r="G52"/>
      <x:c r="H52" t="str">
        <x:v>manual_seeded_v1_5</x:v>
      </x:c>
      <x:c r="I52" t="str">
        <x:v>Complements Q-023/Q-024.</x:v>
      </x:c>
    </x:row>
    <x:row r="53">
      <x:c r="A53" t="str">
        <x:v>Q-052</x:v>
      </x:c>
      <x:c r="B53" t="str">
        <x:v>"Rydberg atom arrays" "quantum criticality"</x:v>
      </x:c>
      <x:c r="C53" t="str">
        <x:v>many-body theory</x:v>
      </x:c>
      <x:c r="D53" t="str">
        <x:v>Catches theory papers on phase transitions, scars, fragmentation.</x:v>
      </x:c>
      <x:c r="E53" t="str">
        <x:v>Exclude old non-tweezer optical-lattice-only papers unless very influential.</x:v>
      </x:c>
      <x:c r="F53" t="str">
        <x:v>2026-06-18</x:v>
      </x:c>
      <x:c r="G53"/>
      <x:c r="H53" t="str">
        <x:v>manual_seeded_v1_5</x:v>
      </x:c>
      <x:c r="I53" t="str">
        <x:v>Added for Chepiga/criticality branch.</x:v>
      </x:c>
    </x:row>
    <x:row r="54">
      <x:c r="A54" t="str">
        <x:v>Q-053</x:v>
      </x:c>
      <x:c r="B54" t="str">
        <x:v>"Supersolidity" "Rydberg tweezer arrays"</x:v>
      </x:c>
      <x:c r="C54" t="str">
        <x:v>many-body theory</x:v>
      </x:c>
      <x:c r="D54" t="str">
        <x:v>Catches direct supersolid/long-range hopping theory in Rydberg tweezer arrays.</x:v>
      </x:c>
      <x:c r="E54" t="str">
        <x:v>Exclude non-tweezer supersolid optical lattice papers.</x:v>
      </x:c>
      <x:c r="F54" t="str">
        <x:v>2026-06-18</x:v>
      </x:c>
      <x:c r="G54"/>
      <x:c r="H54" t="str">
        <x:v>manual_seeded_v1_6</x:v>
      </x:c>
      <x:c r="I54" t="str">
        <x:v>Yielded arXiv:2407.12752.</x:v>
      </x:c>
    </x:row>
    <x:row r="55">
      <x:c r="A55" t="str">
        <x:v>Q-054</x:v>
      </x:c>
      <x:c r="B55" t="str">
        <x:v>"Frustrated Rydberg Atom Arrays" "Cavity-QED"</x:v>
      </x:c>
      <x:c r="C55" t="str">
        <x:v>cavity / many-body theory</x:v>
      </x:c>
      <x:c r="D55" t="str">
        <x:v>Captures cavity-QED extensions of Rydberg atom arrays.</x:v>
      </x:c>
      <x:c r="E55" t="str">
        <x:v>Keep as B/C unless optical tweezer implementation is explicit.</x:v>
      </x:c>
      <x:c r="F55" t="str">
        <x:v>2026-06-18</x:v>
      </x:c>
      <x:c r="G55" t="n">
        <x:v>1</x:v>
      </x:c>
      <x:c r="H55" t="str">
        <x:v>manual_screened_v1_6</x:v>
      </x:c>
      <x:c r="I55" t="str">
        <x:v>arXiv:2504.05126 already present from v1.4; counted as duplicate/saturation signal.</x:v>
      </x:c>
    </x:row>
    <x:row r="56">
      <x:c r="A56" t="str">
        <x:v>Q-055</x:v>
      </x:c>
      <x:c r="B56" t="str">
        <x:v>"optically trapped Rydberg atom tweezer arrays" "dark matter"</x:v>
      </x:c>
      <x:c r="C56" t="str">
        <x:v>sensing/metrology adjacent</x:v>
      </x:c>
      <x:c r="D56" t="str">
        <x:v>Captures unusual sensing proposals using Rydberg tweezer arrays.</x:v>
      </x:c>
      <x:c r="E56" t="str">
        <x:v>Keep separate from vapor-cell sensing and QC core.</x:v>
      </x:c>
      <x:c r="F56" t="str">
        <x:v>2026-06-18</x:v>
      </x:c>
      <x:c r="G56" t="n">
        <x:v>1</x:v>
      </x:c>
      <x:c r="H56" t="str">
        <x:v>manual_seeded_v1_6</x:v>
      </x:c>
      <x:c r="I56" t="str">
        <x:v>Yielded arXiv:2507.12860.</x:v>
      </x:c>
    </x:row>
    <x:row r="57">
      <x:c r="A57" t="str">
        <x:v>Q-056</x:v>
      </x:c>
      <x:c r="B57" t="str">
        <x:v>"Rydberg atoms" "tweezer arrays" "supersymmetry"</x:v>
      </x:c>
      <x:c r="C57" t="str">
        <x:v>theory / quantum simulation</x:v>
      </x:c>
      <x:c r="D57" t="str">
        <x:v>Captures high-energy-inspired quantum simulation proposals.</x:v>
      </x:c>
      <x:c r="E57" t="str">
        <x:v>Exclude papers without direct Rydberg-tweezer motivation.</x:v>
      </x:c>
      <x:c r="F57" t="str">
        <x:v>2026-06-18</x:v>
      </x:c>
      <x:c r="G57" t="n">
        <x:v>1</x:v>
      </x:c>
      <x:c r="H57" t="str">
        <x:v>manual_seeded_v1_6</x:v>
      </x:c>
      <x:c r="I57" t="str">
        <x:v>Yielded arXiv:2405.21073.</x:v>
      </x:c>
    </x:row>
    <x:row r="58">
      <x:c r="A58" t="str">
        <x:v>Q-057</x:v>
      </x:c>
      <x:c r="B58" t="str">
        <x:v>"Rydberg atoms" "optical tweezer arrays" "pulse-based optimization"</x:v>
      </x:c>
      <x:c r="C58" t="str">
        <x:v>algorithm / control</x:v>
      </x:c>
      <x:c r="D58" t="str">
        <x:v>Captures pulse-level optimization and analog/digital hybrid methods.</x:v>
      </x:c>
      <x:c r="E58" t="str">
        <x:v>Exclude generic VQE papers with no Rydberg hardware mapping.</x:v>
      </x:c>
      <x:c r="F58" t="str">
        <x:v>2026-06-18</x:v>
      </x:c>
      <x:c r="G58" t="n">
        <x:v>1</x:v>
      </x:c>
      <x:c r="H58" t="str">
        <x:v>manual_seeded_v1_6</x:v>
      </x:c>
      <x:c r="I58" t="str">
        <x:v>Yielded arXiv:2507.19153.</x:v>
      </x:c>
    </x:row>
    <x:row r="59">
      <x:c r="A59" t="str">
        <x:v>Q-058</x:v>
      </x:c>
      <x:c r="B59" t="str">
        <x:v>"magic traps" "Rydberg atoms" "tweezers"</x:v>
      </x:c>
      <x:c r="C59" t="str">
        <x:v>enabling physics</x:v>
      </x:c>
      <x:c r="D59" t="str">
        <x:v>Captures Rydberg trapping/coherence papers relevant to tweezer geometry.</x:v>
      </x:c>
      <x:c r="E59" t="str">
        <x:v>Exclude pure optical lattice unless tweezer implications are explicit.</x:v>
      </x:c>
      <x:c r="F59" t="str">
        <x:v>2026-06-18</x:v>
      </x:c>
      <x:c r="G59" t="n">
        <x:v>1</x:v>
      </x:c>
      <x:c r="H59" t="str">
        <x:v>manual_seeded_v1_6</x:v>
      </x:c>
      <x:c r="I59" t="str">
        <x:v>Yielded arXiv:2410.20901.</x:v>
      </x:c>
    </x:row>
    <x:row r="60">
      <x:c r="A60" t="str">
        <x:v>Q-059</x:v>
      </x:c>
      <x:c r="B60" t="str">
        <x:v>"quantum-network register" "optical tweezers" "optical cavity"</x:v>
      </x:c>
      <x:c r="C60" t="str">
        <x:v>interfaces / networking adjacent</x:v>
      </x:c>
      <x:c r="D60" t="str">
        <x:v>Captures neutral-atom tweezer/cavity interconnect work.</x:v>
      </x:c>
      <x:c r="E60" t="str">
        <x:v>Keep adjacent unless Rydberg gates or Rydberg arrays are central.</x:v>
      </x:c>
      <x:c r="F60" t="str">
        <x:v>2026-06-18</x:v>
      </x:c>
      <x:c r="G60" t="n">
        <x:v>1</x:v>
      </x:c>
      <x:c r="H60" t="str">
        <x:v>manual_seeded_v1_6</x:v>
      </x:c>
      <x:c r="I60" t="str">
        <x:v>Yielded arXiv:2407.09109.</x:v>
      </x:c>
    </x:row>
    <x:row r="61">
      <x:c r="A61" t="str">
        <x:v>Q-060</x:v>
      </x:c>
      <x:c r="B61" t="str">
        <x:v>"Rydberg atom array" "microwave electrometry" "optical tweezer"</x:v>
      </x:c>
      <x:c r="C61" t="str">
        <x:v>Rydberg-array sensing</x:v>
      </x:c>
      <x:c r="D61" t="str">
        <x:v>Captures individual-Rydberg-array microwave sensing branch.</x:v>
      </x:c>
      <x:c r="E61" t="str">
        <x:v>Separate from vapor-cell Rydberg sensing.</x:v>
      </x:c>
      <x:c r="F61" t="str">
        <x:v>2026-06-18</x:v>
      </x:c>
      <x:c r="G61" t="n">
        <x:v>1</x:v>
      </x:c>
      <x:c r="H61" t="str">
        <x:v>manual_seeded_v1_6</x:v>
      </x:c>
      <x:c r="I61" t="str">
        <x:v>Yielded arXiv:2512.05413.</x:v>
      </x:c>
    </x:row>
    <x:row r="62">
      <x:c r="A62" t="str">
        <x:v>Q-061</x:v>
      </x:c>
      <x:c r="B62" t="str">
        <x:v>"all-to-all connectivity" "Rydberg atom" "messenger qubits"</x:v>
      </x:c>
      <x:c r="C62" t="str">
        <x:v>architecture theory</x:v>
      </x:c>
      <x:c r="D62" t="str">
        <x:v>Captures mobile-atom/messenger-qubit connectivity architecture papers.</x:v>
      </x:c>
      <x:c r="E62" t="str">
        <x:v>Verify if implementation assumes optical tweezers or generic atom arrays.</x:v>
      </x:c>
      <x:c r="F62" t="str">
        <x:v>2026-06-18</x:v>
      </x:c>
      <x:c r="G62" t="n">
        <x:v>1</x:v>
      </x:c>
      <x:c r="H62" t="str">
        <x:v>manual_seeded_v1_6</x:v>
      </x:c>
      <x:c r="I62" t="str">
        <x:v>Yielded arXiv:2504.05087.</x:v>
      </x:c>
    </x:row>
    <x:row r="63">
      <x:c r="A63" t="str">
        <x:v>Q-062</x:v>
      </x:c>
      <x:c r="B63" t="str">
        <x:v>"localization" "topology" "Rydberg tweezer arrays"</x:v>
      </x:c>
      <x:c r="C63" t="str">
        <x:v>disorder/topology theory</x:v>
      </x:c>
      <x:c r="D63" t="str">
        <x:v>Captures dimerization/disorder/topology in Rydberg tweezer arrays.</x:v>
      </x:c>
      <x:c r="E63" t="str">
        <x:v>Exclude generic long-range spin chains without Rydberg array mapping.</x:v>
      </x:c>
      <x:c r="F63" t="str">
        <x:v>2026-06-18</x:v>
      </x:c>
      <x:c r="G63" t="n">
        <x:v>1</x:v>
      </x:c>
      <x:c r="H63" t="str">
        <x:v>manual_seeded_v1_6</x:v>
      </x:c>
      <x:c r="I63" t="str">
        <x:v>Yielded arXiv:2505.07720.</x:v>
      </x:c>
    </x:row>
    <x:row r="64">
      <x:c r="A64" t="str">
        <x:v>Q-063</x:v>
      </x:c>
      <x:c r="B64" t="str">
        <x:v>"ultracold molecules" "optical tweezer arrays" "Rydberg"</x:v>
      </x:c>
      <x:c r="C64" t="str">
        <x:v>adjacent molecules</x:v>
      </x:c>
      <x:c r="D64" t="str">
        <x:v>Boundary-control query for molecular tweezer work and Rydberg-molecule links.</x:v>
      </x:c>
      <x:c r="E64" t="str">
        <x:v>Do not promote molecule-only papers as Rydberg core.</x:v>
      </x:c>
      <x:c r="F64" t="str">
        <x:v>2026-06-18</x:v>
      </x:c>
      <x:c r="G64" t="n">
        <x:v>1</x:v>
      </x:c>
      <x:c r="H64" t="str">
        <x:v>manual_screened_v1_6</x:v>
      </x:c>
      <x:c r="I64" t="str">
        <x:v>Yielded arXiv:2401.13593 as adjacent/boundary case.</x:v>
      </x:c>
    </x:row>
    <x:row r="65">
      <x:c r="A65" s="14" t="str">
        <x:v>Q-064</x:v>
      </x:c>
      <x:c r="B65" s="14" t="str">
        <x:v>"Rydberg" "optical tweezers" "neutral atoms" 2026 site:arxiv.org/abs</x:v>
      </x:c>
      <x:c r="C65" s="14" t="str">
        <x:v>arXiv grid / broad core</x:v>
      </x:c>
      <x:c r="D65" s="14" t="str">
        <x:v>Probe current-year core experimental+theory hits from web index.</x:v>
      </x:c>
      <x:c r="E65" s="14" t="str">
        <x:v>Deduplicate against existing arXiv PI map; exclude non-tweezer or non-neutral atom hits.</x:v>
      </x:c>
      <x:c r="F65" s="14" t="str">
        <x:v>2026-06-18</x:v>
      </x:c>
      <x:c r="G65" s="14" t="str">
        <x:v>web-index: multiple hits; exact API count pending</x:v>
      </x:c>
      <x:c r="H65" s="14" t="str">
        <x:v>v1.8_grid_seeded</x:v>
      </x:c>
      <x:c r="I65" s="14" t="str">
        <x:v>Used in RUN-ARXIV-GRID-v1.8.</x:v>
      </x:c>
    </x:row>
    <x:row r="66">
      <x:c r="A66" s="14" t="str">
        <x:v>Q-065</x:v>
      </x:c>
      <x:c r="B66" s="14" t="str">
        <x:v>"Rydberg atom arrays" "optical tweezers" 2025 site:arxiv.org/abs</x:v>
      </x:c>
      <x:c r="C66" s="14" t="str">
        <x:v>arXiv grid / direct phrase</x:v>
      </x:c>
      <x:c r="D66" s="14" t="str">
        <x:v>High precision phrase for Rydberg tweezer arrays in 2025.</x:v>
      </x:c>
      <x:c r="E66" s="14" t="str">
        <x:v>Exclude generic Rydberg array theory only if no optical tweezer connection.</x:v>
      </x:c>
      <x:c r="F66" s="14" t="str">
        <x:v>2026-06-18</x:v>
      </x:c>
      <x:c r="G66" s="14" t="str">
        <x:v>web-index: multiple hits; exact API count pending</x:v>
      </x:c>
      <x:c r="H66" s="14" t="str">
        <x:v>v1.8_grid_seeded</x:v>
      </x:c>
      <x:c r="I66" s="14" t="str">
        <x:v>Returned spin-phonon and related theory duplicates/candidates.</x:v>
      </x:c>
    </x:row>
    <x:row r="67">
      <x:c r="A67" s="14" t="str">
        <x:v>Q-066</x:v>
      </x:c>
      <x:c r="B67" s="14" t="str">
        <x:v>"neutral atom" "Rydberg" "tweezer arrays" 2024 site:arxiv.org/abs</x:v>
      </x:c>
      <x:c r="C67" s="14" t="str">
        <x:v>arXiv grid / 2024 core</x:v>
      </x:c>
      <x:c r="D67" s="14" t="str">
        <x:v>Catch 2024 papers with neutral-atom plus Rydberg plus tweezer wording.</x:v>
      </x:c>
      <x:c r="E67" s="14" t="str">
        <x:v>Check if last author already in Database.</x:v>
      </x:c>
      <x:c r="F67" s="14" t="str">
        <x:v>2026-06-18</x:v>
      </x:c>
      <x:c r="G67" s="14" t="str">
        <x:v>web-index: multiple hits; exact API count pending</x:v>
      </x:c>
      <x:c r="H67" s="14" t="str">
        <x:v>v1.8_grid_seeded</x:v>
      </x:c>
      <x:c r="I67" s="14" t="str">
        <x:v>Returned learning/interactions and QEC papers.</x:v>
      </x:c>
    </x:row>
    <x:row r="68">
      <x:c r="A68" s="14" t="str">
        <x:v>Q-067</x:v>
      </x:c>
      <x:c r="B68" s="14" t="str">
        <x:v>"Rydberg arrays" "quantum error correction" "neutral atoms" 2026 site:arxiv.org/abs</x:v>
      </x:c>
      <x:c r="C68" s="14" t="str">
        <x:v>arXiv grid / QEC</x:v>
      </x:c>
      <x:c r="D68" s="14" t="str">
        <x:v>Find QEC/control/architecture papers in 2026.</x:v>
      </x:c>
      <x:c r="E68" s="14" t="str">
        <x:v>Exclude superconducting/ion erasure qubit papers.</x:v>
      </x:c>
      <x:c r="F68" s="14" t="str">
        <x:v>2026-06-18</x:v>
      </x:c>
      <x:c r="G68" s="14" t="str">
        <x:v>web-index: multiple hits; exact API count pending</x:v>
      </x:c>
      <x:c r="H68" s="14" t="str">
        <x:v>v1.8_grid_seeded</x:v>
      </x:c>
      <x:c r="I68" s="14" t="str">
        <x:v>Returned multiqubit gates and loss-biased QEC.</x:v>
      </x:c>
    </x:row>
    <x:row r="69">
      <x:c r="A69" s="14" t="str">
        <x:v>Q-068</x:v>
      </x:c>
      <x:c r="B69" s="14" t="str">
        <x:v>"cavity-coupled Rydberg array" optical tweezer</x:v>
      </x:c>
      <x:c r="C69" s="14" t="str">
        <x:v>interfaces / networking</x:v>
      </x:c>
      <x:c r="D69" s="14" t="str">
        <x:v>Find cavity/interface experimental branch for Rydberg arrays.</x:v>
      </x:c>
      <x:c r="E69" s="14" t="str">
        <x:v>Boundary between core and adjacent interface layer.</x:v>
      </x:c>
      <x:c r="F69" s="14" t="str">
        <x:v>2026-06-18</x:v>
      </x:c>
      <x:c r="G69" s="14" t="str">
        <x:v>1 canonical hit in v1.8</x:v>
      </x:c>
      <x:c r="H69" s="14" t="str">
        <x:v>v1.8_grid_seeded</x:v>
      </x:c>
      <x:c r="I69" s="14" t="str">
        <x:v>Matched Zeiher/MPQ E-006.</x:v>
      </x:c>
    </x:row>
    <x:row r="70">
      <x:c r="A70" s="14" t="str">
        <x:v>Q-069</x:v>
      </x:c>
      <x:c r="B70" s="14" t="str">
        <x:v>"Hamiltonian learning" "Rydberg" "optical tweezers"</x:v>
      </x:c>
      <x:c r="C70" s="14" t="str">
        <x:v>theory / calibration</x:v>
      </x:c>
      <x:c r="D70" s="14" t="str">
        <x:v>Capture ML/calibration papers useful for analog simulator control.</x:v>
      </x:c>
      <x:c r="E70" s="14" t="str">
        <x:v>Require explicit Rydberg-atom arrays or optical-tweezer uncertainty.</x:v>
      </x:c>
      <x:c r="F70" s="14" t="str">
        <x:v>2026-06-18</x:v>
      </x:c>
      <x:c r="G70" s="14" t="str">
        <x:v>1 canonical hit in v1.8</x:v>
      </x:c>
      <x:c r="H70" s="14" t="str">
        <x:v>v1.8_grid_seeded</x:v>
      </x:c>
      <x:c r="I70" s="14" t="str">
        <x:v>Generated Antoine Georges candidate row.</x:v>
      </x:c>
    </x:row>
    <x:row r="71">
      <x:c r="A71" s="14" t="str">
        <x:v>Q-070</x:v>
      </x:c>
      <x:c r="B71" s="14" t="str">
        <x:v>"hologram" "Rydberg atom arrays" "neutral atom" reconfiguration</x:v>
      </x:c>
      <x:c r="C71" s="14" t="str">
        <x:v>technical / reconfiguration</x:v>
      </x:c>
      <x:c r="D71" s="14" t="str">
        <x:v>Capture SLM/hologram/control infrastructure papers.</x:v>
      </x:c>
      <x:c r="E71" s="14" t="str">
        <x:v>Promote only if group has independent Rydberg-tweezer relevance.</x:v>
      </x:c>
      <x:c r="F71" s="14" t="str">
        <x:v>2026-06-18</x:v>
      </x:c>
      <x:c r="G71" s="14" t="str">
        <x:v>1 canonical hit in v1.8</x:v>
      </x:c>
      <x:c r="H71" s="14" t="str">
        <x:v>v1.8_grid_seeded</x:v>
      </x:c>
      <x:c r="I71" s="14" t="str">
        <x:v>Matched Jin-Guo Liu E-048.</x:v>
      </x:c>
    </x:row>
    <x:row r="72">
      <x:c r="A72" s="14" t="str">
        <x:v>Q-071</x:v>
      </x:c>
      <x:c r="B72" s="14" t="str">
        <x:v>"neutral atom CSS codes" Rydberg states</x:v>
      </x:c>
      <x:c r="C72" s="14" t="str">
        <x:v>QEC / theory</x:v>
      </x:c>
      <x:c r="D72" s="14" t="str">
        <x:v>Find QEC threshold/fidelity theory specific to neutral atoms and Rydberg decay.</x:v>
      </x:c>
      <x:c r="E72" s="14" t="str">
        <x:v>Check whether it is architecture-general or Rydberg-specific enough.</x:v>
      </x:c>
      <x:c r="F72" s="14" t="str">
        <x:v>2026-06-18</x:v>
      </x:c>
      <x:c r="G72" s="14" t="str">
        <x:v>1 canonical hit in v1.8</x:v>
      </x:c>
      <x:c r="H72" s="14" t="str">
        <x:v>v1.8_grid_seeded</x:v>
      </x:c>
      <x:c r="I72" s="14" t="str">
        <x:v>Matched Kokkelmans/Eindhoven E-010.</x:v>
      </x:c>
    </x:row>
    <x:row r="73">
      <x:c r="A73" s="14" t="str">
        <x:v>Q-072</x:v>
      </x:c>
      <x:c r="B73" s="14" t="str">
        <x:v>"Rydberg decay" "measurement-based quantum computation" neutral atom</x:v>
      </x:c>
      <x:c r="C73" s="14" t="str">
        <x:v>QEC / leakage</x:v>
      </x:c>
      <x:c r="D73" s="14" t="str">
        <x:v>Find MBQC/leakage treatments for Rydberg decay.</x:v>
      </x:c>
      <x:c r="E73" s="14" t="str">
        <x:v>Likely maps to existing USTC/Pan node.</x:v>
      </x:c>
      <x:c r="F73" s="14" t="str">
        <x:v>2026-06-18</x:v>
      </x:c>
      <x:c r="G73" s="14" t="str">
        <x:v>1 canonical hit in v1.8</x:v>
      </x:c>
      <x:c r="H73" s="14" t="str">
        <x:v>v1.8_grid_seeded</x:v>
      </x:c>
      <x:c r="I73" s="14" t="str">
        <x:v>Matched USTC/Pan E-039.</x:v>
      </x:c>
    </x:row>
    <x:row r="74">
      <x:c r="A74" s="14" t="str">
        <x:v>Q-073</x:v>
      </x:c>
      <x:c r="B74" s="14" t="str">
        <x:v>"neutral atom Rydberg tweezer arrays" "machine learning"</x:v>
      </x:c>
      <x:c r="C74" s="14" t="str">
        <x:v>ML / algorithms</x:v>
      </x:c>
      <x:c r="D74" s="14" t="str">
        <x:v>Find quantum ML/learning papers mentioning Rydberg tweezer arrays.</x:v>
      </x:c>
      <x:c r="E74" s="14" t="str">
        <x:v>Often adjacent; promote only with repeated direct relevance.</x:v>
      </x:c>
      <x:c r="F74" s="14" t="str">
        <x:v>2026-06-18</x:v>
      </x:c>
      <x:c r="G74" s="14" t="str">
        <x:v>1 canonical hit in v1.8</x:v>
      </x:c>
      <x:c r="H74" s="14" t="str">
        <x:v>v1.8_grid_seeded</x:v>
      </x:c>
      <x:c r="I74" s="14" t="str">
        <x:v>Generated Florian Marquardt adjacent candidate.</x:v>
      </x:c>
    </x:row>
    <x:row r="75">
      <x:c r="A75" s="14" t="str">
        <x:v>Q-074</x:v>
      </x:c>
      <x:c r="B75" s="14" t="str">
        <x:v>"Rydberg atom arrays" "critical points" "optical tweezers"</x:v>
      </x:c>
      <x:c r="C75" s="14" t="str">
        <x:v>theory / quantum simulation</x:v>
      </x:c>
      <x:c r="D75" s="14" t="str">
        <x:v>Find condensed-matter/QS theory papers mapping to Rydberg arrays.</x:v>
      </x:c>
      <x:c r="E75" s="14" t="str">
        <x:v>Last-author extraction may need PDF because web index truncates authors.</x:v>
      </x:c>
      <x:c r="F75" s="14" t="str">
        <x:v>2026-06-18</x:v>
      </x:c>
      <x:c r="G75" s="14" t="str">
        <x:v>1 canonical hit in v1.8</x:v>
      </x:c>
      <x:c r="H75" s="14" t="str">
        <x:v>v1.8_grid_seeded</x:v>
      </x:c>
      <x:c r="I75" s="14" t="str">
        <x:v>SSD paper added to follow-up queue, not promoted.</x:v>
      </x:c>
    </x:row>
    <x:row r="76">
      <x:c r="A76" s="14" t="str">
        <x:v>Q-075</x:v>
      </x:c>
      <x:c r="B76" s="14" t="str">
        <x:v>"neutral atom quantum computing" review Rydberg optical tweezers 2025 2026</x:v>
      </x:c>
      <x:c r="C76" s="14" t="str">
        <x:v>review mining</x:v>
      </x:c>
      <x:c r="D76" s="14" t="str">
        <x:v>Find current reviews/perspectives for reference mining.</x:v>
      </x:c>
      <x:c r="E76" s="14" t="str">
        <x:v>Reviews are not Database rows unless they reveal groups.</x:v>
      </x:c>
      <x:c r="F76" s="14" t="str">
        <x:v>2026-06-18</x:v>
      </x:c>
      <x:c r="G76" s="14" t="str">
        <x:v>3 review seeds identified</x:v>
      </x:c>
      <x:c r="H76" s="14" t="str">
        <x:v>v1.8_grid_seeded</x:v>
      </x:c>
      <x:c r="I76" s="14" t="str">
        <x:v>Added REV-009..REV-011 to Review_Seeds.</x:v>
      </x:c>
    </x:row>
    <x:row r="77">
      <x:c r="A77" s="14" t="str">
        <x:v>Q-076</x:v>
      </x:c>
      <x:c r="B77" s="14" t="str">
        <x:v>"Rydberg atom arrays" "references" "review" 2025</x:v>
      </x:c>
      <x:c r="C77" s="14" t="str">
        <x:v>review citation mining</x:v>
      </x:c>
      <x:c r="D77" s="14" t="str">
        <x:v>Prepare review-reference extraction.</x:v>
      </x:c>
      <x:c r="E77" s="14" t="str">
        <x:v>Run via PDF/reference section, not free web snippets.</x:v>
      </x:c>
      <x:c r="F77" s="14" t="str">
        <x:v>2026-06-18</x:v>
      </x:c>
      <x:c r="G77" s="14" t="str">
        <x:v>not run</x:v>
      </x:c>
      <x:c r="H77" s="14" t="str">
        <x:v>planned</x:v>
      </x:c>
      <x:c r="I77" s="14" t="str">
        <x:v>For v1.9 or v2.0.</x:v>
      </x:c>
    </x:row>
    <x:row r="78">
      <x:c r="A78" s="14" t="str">
        <x:v>Q-077</x:v>
      </x:c>
      <x:c r="B78" s="14" t="str">
        <x:v>"Rydberg atom arrays" "cited by" 2024 2025 2026</x:v>
      </x:c>
      <x:c r="C78" s="14" t="str">
        <x:v>forward citation mining</x:v>
      </x:c>
      <x:c r="D78" s="14" t="str">
        <x:v>Prepare forward-citation scan through Semantic Scholar/OpenAlex.</x:v>
      </x:c>
      <x:c r="E78" s="14" t="str">
        <x:v>Requires API or manual export; not done in v1.8.</x:v>
      </x:c>
      <x:c r="F78" s="14" t="str">
        <x:v>2026-06-18</x:v>
      </x:c>
      <x:c r="G78" s="14" t="str">
        <x:v>not run</x:v>
      </x:c>
      <x:c r="H78" s="14" t="str">
        <x:v>planned</x:v>
      </x:c>
      <x:c r="I78" s="14" t="str">
        <x:v>Part of exhaustion criteria.</x:v>
      </x:c>
    </x:row>
  </x:sheetData>
  <x:pageMargins left="0.7" right="0.7" top="0.75" bottom="0.75" header="0.3" footer="0.3"/>
  <x:tableParts count="2">
    <x:tablePart xmlns:r="http://schemas.openxmlformats.org/officeDocument/2006/relationships" r:id="Rea77d60c1f4f49d7"/>
    <x:tablePart xmlns:r="http://schemas.openxmlformats.org/officeDocument/2006/relationships" r:id="R4bf57593edb84c1f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60" hidden="0" customWidth="1"/>
    <x:col min="3" max="3" width="55" hidden="0" customWidth="1"/>
    <x:col min="4" max="4" width="18" hidden="0" customWidth="1"/>
    <x:col min="5" max="5" width="35" hidden="0" customWidth="1"/>
  </x:cols>
  <x:sheetData>
    <x:row r="1">
      <x:c r="A1" s="21" t="str">
        <x:v>Field</x:v>
      </x:c>
      <x:c r="B1" s="21" t="str">
        <x:v>Allowed values / examples</x:v>
      </x:c>
      <x:c r="C1" s="21" t="str">
        <x:v>Definition</x:v>
      </x:c>
      <x:c r="D1" s="21" t="str">
        <x:v>Use for filtering</x:v>
      </x:c>
      <x:c r="E1" s="21" t="str">
        <x:v>Notes</x:v>
      </x:c>
    </x:row>
    <x:row r="2">
      <x:c r="A2" t="str">
        <x:v>entity_type</x:v>
      </x:c>
      <x:c r="B2" t="str">
        <x:v>academic; company; national_lab; theory_group; mixed_team; consortium; software_project</x:v>
      </x:c>
      <x:c r="C2" t="str">
        <x:v>Organizational category</x:v>
      </x:c>
      <x:c r="D2" t="str">
        <x:v>yes</x:v>
      </x:c>
      <x:c r="E2" t="str"/>
    </x:row>
    <x:row r="3">
      <x:c r="A3" t="str">
        <x:v>status</x:v>
      </x:c>
      <x:c r="B3" t="str">
        <x:v>candidate; verified; needs_review; excluded; archived</x:v>
      </x:c>
      <x:c r="C3" t="str">
        <x:v>Curation status</x:v>
      </x:c>
      <x:c r="D3" t="str">
        <x:v>yes</x:v>
      </x:c>
      <x:c r="E3" t="str"/>
    </x:row>
    <x:row r="4">
      <x:c r="A4" t="str">
        <x:v>confidence</x:v>
      </x:c>
      <x:c r="B4" t="str">
        <x:v>A; B; C; Exclude</x:v>
      </x:c>
      <x:c r="C4" t="str">
        <x:v>A core, B relevant but unclear, C adjacent, Exclude outside scope</x:v>
      </x:c>
      <x:c r="D4" t="str">
        <x:v>yes</x:v>
      </x:c>
      <x:c r="E4" t="str"/>
    </x:row>
    <x:row r="5">
      <x:c r="A5" t="str">
        <x:v>platform_tags</x:v>
      </x:c>
      <x:c r="B5" t="str">
        <x:v>rydberg_array; optical_tweezers; neutral_atom_qc; quantum_simulation; qec; gates; algorithms; software; sensing; vapor_cell; optical_lattice</x:v>
      </x:c>
      <x:c r="C5" t="str">
        <x:v>Multiple tags allowed, separated by semicolons</x:v>
      </x:c>
      <x:c r="D5" t="str">
        <x:v>yes</x:v>
      </x:c>
      <x:c r="E5" t="str"/>
    </x:row>
    <x:row r="6">
      <x:c r="A6" t="str">
        <x:v>species</x:v>
      </x:c>
      <x:c r="B6" t="str">
        <x:v>Rb; Cs; Sr; Yb; Na; K; mixed; unknown</x:v>
      </x:c>
      <x:c r="C6" t="str">
        <x:v>Atomic species used or modeled</x:v>
      </x:c>
      <x:c r="D6" t="str">
        <x:v>yes</x:v>
      </x:c>
      <x:c r="E6" t="str"/>
    </x:row>
    <x:row r="7">
      <x:c r="A7" t="str">
        <x:v>rydberg_role</x:v>
      </x:c>
      <x:c r="B7" t="str">
        <x:v>gates; analog_simulation; digital_simulation; qec; architecture; algorithms; theory; sensing; dressing; blockade; other</x:v>
      </x:c>
      <x:c r="C7" t="str">
        <x:v>How Rydberg physics enters</x:v>
      </x:c>
      <x:c r="D7" t="str">
        <x:v>yes</x:v>
      </x:c>
      <x:c r="E7" t="str"/>
    </x:row>
    <x:row r="8">
      <x:c r="A8" t="str">
        <x:v>optical_tweezers</x:v>
      </x:c>
      <x:c r="B8" t="str">
        <x:v>yes; no; unclear; not_applicable</x:v>
      </x:c>
      <x:c r="C8" t="str">
        <x:v>Whether optical tweezers are part of the target platform</x:v>
      </x:c>
      <x:c r="D8" t="str">
        <x:v>yes</x:v>
      </x:c>
      <x:c r="E8" t="str"/>
    </x:row>
    <x:row r="9">
      <x:c r="A9" t="str">
        <x:v>experimental_mode</x:v>
      </x:c>
      <x:c r="B9" t="str">
        <x:v>experimental; theory; mixed; software; company; unknown</x:v>
      </x:c>
      <x:c r="C9" t="str">
        <x:v>Nature of activity</x:v>
      </x:c>
      <x:c r="D9" t="str">
        <x:v>yes</x:v>
      </x:c>
      <x:c r="E9" t="str"/>
    </x:row>
    <x:row r="10">
      <x:c r="A10" t="str">
        <x:v>core_relevance_score</x:v>
      </x:c>
      <x:c r="B10" t="str">
        <x:v>0-5</x:v>
      </x:c>
      <x:c r="C10" t="str">
        <x:v>Manual score: 5 = perfect match to neutral atoms + Rydberg + tweezers</x:v>
      </x:c>
      <x:c r="D10" t="str">
        <x:v>yes</x:v>
      </x:c>
      <x:c r="E10" t="str"/>
    </x:row>
    <x:row r="11">
      <x:c r="A11" t="str">
        <x:v>recent_activity_score</x:v>
      </x:c>
      <x:c r="B11" t="str">
        <x:v>0-5</x:v>
      </x:c>
      <x:c r="C11" t="str">
        <x:v>Optional later score using papers, jobs, grants, news, talks</x:v>
      </x:c>
      <x:c r="D11" t="str">
        <x:v>yes</x:v>
      </x:c>
      <x:c r="E11" t="str">
        <x:v>Add later if useful</x:v>
      </x:c>
    </x:row>
  </x:sheetData>
  <x:pageMargins left="0.7" right="0.7" top="0.75" bottom="0.75" header="0.3" footer="0.3"/>
  <x:tableParts count="1">
    <x:tablePart xmlns:r="http://schemas.openxmlformats.org/officeDocument/2006/relationships" r:id="R9075044fb75e41c4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8.130000114440918" hidden="0" customWidth="1"/>
    <x:col min="2" max="2" width="6.130000114440918" hidden="0" customWidth="1"/>
    <x:col min="3" max="3" width="11.880000114440918" hidden="0" customWidth="1"/>
    <x:col min="4" max="4" width="10.75" hidden="0" customWidth="1"/>
    <x:col min="5" max="5" width="13" hidden="0" customWidth="1"/>
    <x:col min="6" max="6" width="14.880000114440918" hidden="0" customWidth="1"/>
    <x:col min="7" max="7" width="10" hidden="0" customWidth="1"/>
    <x:col min="8" max="8" width="6.880000114440918" hidden="0" customWidth="1"/>
  </x:cols>
  <x:sheetData>
    <x:row r="1" ht="32" customHeight="1">
      <x:c r="A1" s="85" t="str">
        <x:v>version</x:v>
      </x:c>
      <x:c r="B1" s="85" t="str">
        <x:v>date</x:v>
      </x:c>
      <x:c r="C1" s="85" t="str">
        <x:v>change_type</x:v>
      </x:c>
      <x:c r="D1" s="85" t="str">
        <x:v>description</x:v>
      </x:c>
      <x:c r="E1" s="85" t="str">
        <x:v>entries_added</x:v>
      </x:c>
      <x:c r="F1" s="85" t="str">
        <x:v>entries_modified</x:v>
      </x:c>
      <x:c r="G1" s="85" t="str">
        <x:v>file_name</x:v>
      </x:c>
      <x:c r="H1" s="85" t="str">
        <x:v>notes</x:v>
      </x:c>
    </x:row>
    <x:row r="2">
      <x:c r="A2" s="41" t="str">
        <x:v>v0.1</x:v>
      </x:c>
      <x:c r="B2" s="41" t="str">
        <x:v>2026-06-17</x:v>
      </x:c>
      <x:c r="C2" s="41" t="str">
        <x:v>schema</x:v>
      </x:c>
      <x:c r="D2" s="41" t="str">
        <x:v>Initial workbook with database schema, review seed queue, arXiv query queue, and taxonomy.</x:v>
      </x:c>
      <x:c r="E2" s="41" t="n">
        <x:v>0</x:v>
      </x:c>
      <x:c r="F2" s="41" t="n">
        <x:v>0</x:v>
      </x:c>
      <x:c r="G2" s="41" t="str">
        <x:v>rydberg_tweezer_ecosystem_db_v0_1.xlsx</x:v>
      </x:c>
      <x:c r="H2" s="41" t="str">
        <x:v>No factual entries added yet.</x:v>
      </x:c>
    </x:row>
    <x:row r="3">
      <x:c r="A3" s="41" t="str">
        <x:v>v0.2</x:v>
      </x:c>
      <x:c r="B3" s="41" t="str">
        <x:v>2026-06-17</x:v>
      </x:c>
      <x:c r="C3" s="41" t="str">
        <x:v>seed_population</x:v>
      </x:c>
      <x:c r="D3" s="41" t="str">
        <x:v>Added first factual seed population from reviews, official pages, arXiv/manual searches, and candidate staging.</x:v>
      </x:c>
      <x:c r="E3" s="41" t="n">
        <x:v>27</x:v>
      </x:c>
      <x:c r="F3" s="41" t="n">
        <x:v>0</x:v>
      </x:c>
      <x:c r="G3" s="41" t="str">
        <x:v>rydberg_tweezer_ecosystem_db_v0_2.xlsx</x:v>
      </x:c>
      <x:c r="H3" s="41" t="str">
        <x:v>Not exhaustive. A/B/C confidence tags used to avoid overclaiming.</x:v>
      </x:c>
    </x:row>
    <x:row r="4">
      <x:c r="A4" s="41" t="str">
        <x:v>v0.3</x:v>
      </x:c>
      <x:c r="B4" s="41" t="str">
        <x:v>2026-06-17</x:v>
      </x:c>
      <x:c r="C4" s="41" t="str">
        <x:v>Review/citation + arXiv keyword pass 1</x:v>
      </x:c>
      <x:c r="D4" s="41" t="str">
        <x:v>Added 7 DB rows, promoted 2 existing rows, added citation queue and Asia/US nodes</x:v>
      </x:c>
      <x:c r="E4" s="41" t="str">
        <x:v>Database, Review_Seeds, Arxiv_Queries, Candidate_Staging, Citation_Queue, Curation_Summary</x:v>
      </x:c>
      <x:c r="F4" s="41" t="str">
        <x:v>LUIS/ChatGPT</x:v>
      </x:c>
      <x:c r="G4" s="41" t="str">
        <x:v>in_progress</x:v>
      </x:c>
      <x:c r="H4" s="41" t="str">
        <x:v>Next: mine review citations systematically and normalize affiliations/ROR.</x:v>
      </x:c>
    </x:row>
    <x:row r="5">
      <x:c r="A5" s="41" t="str">
        <x:v>v0.4</x:v>
      </x:c>
      <x:c r="B5" s="41" t="str">
        <x:v>2026-06-17</x:v>
      </x:c>
      <x:c r="C5" s="41" t="str">
        <x:v>targeted expansion</x:v>
      </x:c>
      <x:c r="D5" s="41" t="str">
        <x:v>Added cryogenic/interface/QEC pass: 3 DB rows, 9 citation hits, 5 staged candidates.</x:v>
      </x:c>
      <x:c r="E5" s="41" t="n">
        <x:v>3</x:v>
      </x:c>
      <x:c r="F5" s="41" t="n">
        <x:v>0</x:v>
      </x:c>
      <x:c r="G5" s="41" t="str">
        <x:v>rydberg_tweezer_ecosystem_db_v0_4.xlsx</x:v>
      </x:c>
      <x:c r="H5" s="41" t="str">
        <x:v>Next: use citation queue to extract entities from recent arXiv/QEC papers and validate Hefei/Durham candidates.</x:v>
      </x:c>
    </x:row>
    <x:row r="6">
      <x:c r="A6" s="14" t="str">
        <x:v>v0.5</x:v>
      </x:c>
      <x:c r="B6" s="14" t="str">
        <x:v>2026-06-17</x:v>
      </x:c>
      <x:c r="C6" s="14" t="str">
        <x:v>candidate_expansion</x:v>
      </x:c>
      <x:c r="D6" s="14" t="str">
        <x:v>Added Duke/Loh, USTC/Pan-Lu-Rui, Durham Rydberg molecules, Rice/Hazzard theory, Stanford Schleier-Smith adjacent node and Sandia national-lab program; added candidates and citation hits.</x:v>
      </x:c>
      <x:c r="E6" s="14" t="n">
        <x:v>6</x:v>
      </x:c>
      <x:c r="F6" s="14" t="n">
        <x:v>0</x:v>
      </x:c>
      <x:c r="G6" s="14" t="str">
        <x:v>rydberg_tweezer_ecosystem_db_v0_5.xlsx</x:v>
      </x:c>
      <x:c r="H6" s="14" t="str">
        <x:v>Controlled expansion. Several rows deliberately remain B/C because core optical-tweezer + Rydberg relevance is not equally strong.</x:v>
      </x:c>
    </x:row>
    <x:row r="7">
      <x:c r="A7" s="14" t="str">
        <x:v>v0.6</x:v>
      </x:c>
      <x:c r="B7" s="14" t="str">
        <x:v>2026-06-17</x:v>
      </x:c>
      <x:c r="C7" s="14" t="str">
        <x:v>schema_expansion</x:v>
      </x:c>
      <x:c r="D7" s="14" t="str">
        <x:v>Added arXiv 2024-2026 paper-level PI/affiliation mining schema, PI aggregate sheet, run protocol, and planned query rows Q-013 to Q-017.</x:v>
      </x:c>
      <x:c r="E7" s="14" t="n">
        <x:v>0</x:v>
      </x:c>
      <x:c r="F7" s="14" t="n">
        <x:v>0</x:v>
      </x:c>
      <x:c r="G7" s="14" t="str">
        <x:v>rydberg_tweezer_ecosystem_db_v0_6.xlsx</x:v>
      </x:c>
      <x:c r="H7" s="14" t="str">
        <x:v>This version prepares the systematic arXiv pass. It does not claim the arXiv run has been completed.</x:v>
      </x:c>
    </x:row>
    <x:row r="8">
      <x:c r="A8" t="str">
        <x:v>v0.7</x:v>
      </x:c>
      <x:c r="B8" t="str">
        <x:v>2026-06-17</x:v>
      </x:c>
      <x:c r="C8" t="str">
        <x:v>arxiv_pilot_2024_2026</x:v>
      </x:c>
      <x:c r="D8" t="str">
        <x:v>Added first arXiv 2024-2026 PI-map pilot with paper-by-paper last-author extraction and aggregate sheet.</x:v>
      </x:c>
      <x:c r="E8" t="n">
        <x:v>20</x:v>
      </x:c>
      <x:c r="F8" t="n">
        <x:v>0</x:v>
      </x:c>
      <x:c r="G8" t="str">
        <x:v>rydberg_tweezer_ecosystem_db_v0_7.xlsx</x:v>
      </x:c>
      <x:c r="H8" t="str">
        <x:v>Not exhaustive; several theory/control rows still need PDF/OpenAlex affiliation normalization.</x:v>
      </x:c>
    </x:row>
    <x:row r="9">
      <x:c r="A9" t="str">
        <x:v>v0.8</x:v>
      </x:c>
      <x:c r="B9" t="str">
        <x:v>2026-06-17</x:v>
      </x:c>
      <x:c r="C9" t="str">
        <x:v>arxiv_systematic_expansion_2024_2026</x:v>
      </x:c>
      <x:c r="D9" t="str">
        <x:v>Added a broader manual arXiv 2024-2026 pass: 28 paper-level rows, 14 PI aggregate rows, 5 new query buckets, and QC_Checks sheet.</x:v>
      </x:c>
      <x:c r="E9" t="n">
        <x:v>28</x:v>
      </x:c>
      <x:c r="F9" t="n">
        <x:v>0</x:v>
      </x:c>
      <x:c r="G9" t="str">
        <x:v>rydberg_tweezer_ecosystem_db_v0_8.xlsx</x:v>
      </x:c>
      <x:c r="H9" t="str">
        <x:v>Still not exhaustive. The main remaining task is affiliation/ROR normalization and promotion of vetted theory/software nodes to Database.</x:v>
      </x:c>
    </x:row>
    <x:row r="10">
      <x:c r="A10" t="str">
        <x:v>v0.9</x:v>
      </x:c>
      <x:c r="B10" t="str">
        <x:v>2026-06-17</x:v>
      </x:c>
      <x:c r="C10" t="str">
        <x:v>affiliation_cleanup_and_promotion</x:v>
      </x:c>
      <x:c r="D10" t="str">
        <x:v>Added PI_Affiliation_QC, promoted 10 DB entries from the arXiv PI map, normalized several affiliations, and fixed selected aggregate matches.</x:v>
      </x:c>
      <x:c r="E10" t="n">
        <x:v>10</x:v>
      </x:c>
      <x:c r="F10" t="str">
        <x:v>Arxiv_PI_Aggregate; QC_Checks; Database E-017</x:v>
      </x:c>
      <x:c r="G10" t="str">
        <x:v>rydberg_tweezer_ecosystem_db_v0_9.xlsx</x:v>
      </x:c>
      <x:c r="H10" t="str">
        <x:v>Next: resolve unresolved candidates (Katzgraber, Xiangliang Li, Heng Shen, Waseem Bakr) and prepare v1.0 export-ready map fields.</x:v>
      </x:c>
    </x:row>
    <x:row r="11">
      <x:c r="A11" s="14" t="str">
        <x:v>v1.0</x:v>
      </x:c>
      <x:c r="B11" s="14" t="str">
        <x:v>2026-06-17</x:v>
      </x:c>
      <x:c r="C11" s="14" t="str">
        <x:v>curation_release</x:v>
      </x:c>
      <x:c r="D11" s="14" t="str">
        <x:v>Resolved main affiliation QC candidates, promoted 6 entries, added web-map export sheets and external CSV/GeoJSON map exports.</x:v>
      </x:c>
      <x:c r="E11" s="14" t="n">
        <x:v>6</x:v>
      </x:c>
      <x:c r="F11" s="14" t="str">
        <x:v>Database; PI_Affiliation_QC; Map_Export; Web_Readiness; Version_Log; README</x:v>
      </x:c>
      <x:c r="G11" s="14" t="str">
        <x:v>rydberg_tweezer_ecosystem_db_v1_0.xlsx</x:v>
      </x:c>
      <x:c r="H11" s="14" t="str">
        <x:v>First usable map-ready release. Still not exhaustive; next work: systematic arXiv batch and ROR normalization.</x:v>
      </x:c>
    </x:row>
    <x:row r="12" ht="48" customHeight="1">
      <x:c r="A12" s="14" t="str">
        <x:v>v1.1</x:v>
      </x:c>
      <x:c r="B12" s="14" t="str">
        <x:v>2026-06-17</x:v>
      </x:c>
      <x:c r="C12" s="14" t="str">
        <x:v>arxiv_batch_expansion_2024_2026</x:v>
      </x:c>
      <x:c r="D12" s="14" t="str">
        <x:v>Added 17 paper-level arXiv rows, 15 PI aggregate rows, 6 query buckets, and Arxiv_Batch_v1_1 review sheet.</x:v>
      </x:c>
      <x:c r="E12" s="14" t="n">
        <x:v>0</x:v>
      </x:c>
      <x:c r="F12" s="14" t="str">
        <x:v>Arxiv_PI_Map +17; Arxiv_PI_Aggregate +15</x:v>
      </x:c>
      <x:c r="G12" s="14" t="str">
        <x:v>rydberg_tweezer_ecosystem_db_v1_1.xlsx</x:v>
      </x:c>
      <x:c r="H12" s="14" t="str">
        <x:v>No database/map promotions; next pass should resolve affiliations and promote/demote candidates.</x:v>
      </x:c>
    </x:row>
    <x:row r="13">
      <x:c r="A13" t="str">
        <x:v>v1.2</x:v>
      </x:c>
      <x:c r="B13" t="str">
        <x:v>2026-06-18</x:v>
      </x:c>
      <x:c r="C13" t="str">
        <x:v>arXiv v1.1 affiliation cleanup</x:v>
      </x:c>
      <x:c r="D13" t="str">
        <x:v>Resolved affiliations for 17-paper v1.1 batch; updated Arxiv_Batch_v1_1; added Affiliation_Cleanup_v1_2 and decision summary.</x:v>
      </x:c>
      <x:c r="E13" t="str">
        <x:v>No new Database rows; cleanup-only snapshot.</x:v>
      </x:c>
      <x:c r="F13" t="str">
        <x:v>Affiliation_Cleanup_v1_2; v1_2_Decision_Summary; Arxiv_Batch_v1_1</x:v>
      </x:c>
      <x:c r="G13" t="str">
        <x:v>Ready for v1.3 promotions</x:v>
      </x:c>
      <x:c r="H13" t="str">
        <x:v>Luis/ChatGPT</x:v>
      </x:c>
    </x:row>
    <x:row r="14">
      <x:c r="A14" t="str">
        <x:v>v1.3</x:v>
      </x:c>
      <x:c r="B14" t="str">
        <x:v>2026-06-18</x:v>
      </x:c>
      <x:c r="C14" t="str">
        <x:v>Promotion pass</x:v>
      </x:c>
      <x:c r="D14" t="str">
        <x:v>Added 5 entries to Database; regenerated Map_Export; created v1_3_Promotion_Summary; prepared CSV/GeoJSON exports.</x:v>
      </x:c>
      <x:c r="E14" t="str">
        <x:v>Database, Map_Export, v1_3_Promotion_Summary</x:v>
      </x:c>
      <x:c r="F14" t="str">
        <x:v>Conservative promotion from v1.2 affiliation cleanup</x:v>
      </x:c>
      <x:c r="G14" t="str">
        <x:v>xlsx,csv,geojson</x:v>
      </x:c>
      <x:c r="H14" t="str">
        <x:v>Next: resolve Ming-Sheng Zhan and run second arXiv batch focused on 2024-2026 last-author affiliations.</x:v>
      </x:c>
    </x:row>
    <x:row r="15">
      <x:c r="A15" s="14" t="str">
        <x:v>v1.4</x:v>
      </x:c>
      <x:c r="B15" s="14" t="str">
        <x:v>2026-06-18</x:v>
      </x:c>
      <x:c r="C15" s="14" t="str">
        <x:v>arxiv_systematic_batch</x:v>
      </x:c>
      <x:c r="D15" s="14" t="str">
        <x:v>Added v1.4 paper-layer expansion: 17 arXiv papers, 15 queries, 8 aggregate PI candidates; no Database promotions.</x:v>
      </x:c>
      <x:c r="E15" s="14" t="n">
        <x:v>17</x:v>
      </x:c>
      <x:c r="F15" s="14" t="n">
        <x:v>0</x:v>
      </x:c>
      <x:c r="G15" s="14" t="str">
        <x:v>rydberg_tweezer_ecosystem_db_v1_4.xlsx</x:v>
      </x:c>
      <x:c r="H15" s="14" t="str">
        <x:v>Next: affiliation cleanup and promotion of selected theory/technical nodes.</x:v>
      </x:c>
    </x:row>
    <x:row r="16">
      <x:c r="A16" t="str">
        <x:v>v1.5</x:v>
      </x:c>
      <x:c r="B16" t="str">
        <x:v>2026-06-18</x:v>
      </x:c>
      <x:c r="C16" t="str">
        <x:v>Promotion + source-exhaustion criteria</x:v>
      </x:c>
      <x:c r="D16" t="str">
        <x:v>Promoted six curated nodes; added Q-044..Q-052; created Source_Exhaustion_Criteria and v1_5_Promotion_Summary; regenerated map exports.</x:v>
      </x:c>
      <x:c r="E16" t="str">
        <x:v>70 Database entries; 52 arXiv queries; operational stop criteria defined.</x:v>
      </x:c>
      <x:c r="F16" t="str">
        <x:v>xlsx,csv,geojson</x:v>
      </x:c>
      <x:c r="G16" t="str">
        <x:v>Next: run systematic arXiv API batch with hit counts and review-citation mining.</x:v>
      </x:c>
      <x:c r="H16" t="str">
        <x:v>Luis/ChatGPT</x:v>
      </x:c>
    </x:row>
    <x:row r="17">
      <x:c r="A17" t="str">
        <x:v>v1.6</x:v>
      </x:c>
      <x:c r="B17" t="str">
        <x:v>2026-06-18</x:v>
      </x:c>
      <x:c r="C17" t="str">
        <x:v>arXiv saturation batch</x:v>
      </x:c>
      <x:c r="D17" t="str">
        <x:v>Added 10 new canonical arXiv paper-layer rows, 11 new queries, 10 PI aggregate candidates, Source_Run_Log, and Source_Saturation_Metrics.</x:v>
      </x:c>
      <x:c r="E17" t="n">
        <x:v>0</x:v>
      </x:c>
      <x:c r="F17" t="n">
        <x:v>10</x:v>
      </x:c>
      <x:c r="G17" t="str">
        <x:v>rydberg_tweezer_ecosystem_db_v1_6.xlsx</x:v>
      </x:c>
      <x:c r="H17" t="str">
        <x:v>No database promotions; this batch measures source saturation and affiliation debt.</x:v>
      </x:c>
    </x:row>
    <x:row r="18">
      <x:c r="A18" t="str">
        <x:v>v1.7</x:v>
      </x:c>
      <x:c r="B18" t="str">
        <x:v>2026-06-18</x:v>
      </x:c>
      <x:c r="C18" t="str">
        <x:v>affiliation_cleanup_and_promotion</x:v>
      </x:c>
      <x:c r="D18" t="str">
        <x:v>Resolved v1.6 candidate affiliations, promoted 7 curated nodes, matched Lin Li to existing E-058, and added saturation trend sheet.</x:v>
      </x:c>
      <x:c r="E18" t="n">
        <x:v>7</x:v>
      </x:c>
      <x:c r="F18" t="str">
        <x:v>Database; Map_Export; Arxiv_PI_Map; Affiliation_Cleanup_v1_7; Saturation_Trend_v1_7</x:v>
      </x:c>
      <x:c r="G18" t="str">
        <x:v>rydberg_tweezer_ecosystem_db_v1_7.xlsx</x:v>
      </x:c>
      <x:c r="H18" t="str">
        <x:v>Next: run reproducible arXiv/OpenAlex query grid counts or review-citation mining before more manual expansion.</x:v>
      </x:c>
    </x:row>
    <x:row r="19">
      <x:c r="A19" s="14" t="str">
        <x:v>v1.8</x:v>
      </x:c>
      <x:c r="B19" s="14" t="str">
        <x:v>2026-06-18</x:v>
      </x:c>
      <x:c r="C19" s="14" t="str">
        <x:v>query_grid_and_review_seed_run</x:v>
      </x:c>
      <x:c r="D19" s="14" t="str">
        <x:v>Added reproducible arXiv/web query grid, 11 paper-layer rows, 4 PI aggregate candidate rows, 14 query rows, 3 review seeds and v1.8 exhaustion dashboard.</x:v>
      </x:c>
      <x:c r="E19" s="14" t="n">
        <x:v>0</x:v>
      </x:c>
      <x:c r="F19" s="14" t="str">
        <x:v>Arxiv_PI_Map +11; Arxiv_PI_Aggregate +4; Review_Seeds +3; Arxiv_Queries +14</x:v>
      </x:c>
      <x:c r="G19" s="14" t="str">
        <x:v>rydberg_tweezer_ecosystem_db_v1_8.xlsx</x:v>
      </x:c>
      <x:c r="H19" s="14" t="str">
        <x:v>No Database promotions; map export remains v1.7. Next: review citation mining and affiliation cleanup.</x:v>
      </x:c>
    </x:row>
    <x:row r="20">
      <x:c r="A20" t="str">
        <x:v>v1.9</x:v>
      </x:c>
      <x:c r="B20" t="str">
        <x:v>2026-06-18</x:v>
      </x:c>
      <x:c r="C20" t="str">
        <x:v>review_reference_mining</x:v>
      </x:c>
      <x:c r="D20" t="str">
        <x:v>Mined first pass of Saffman 2025 review references; added 20 reference-derived rows and review run summary.</x:v>
      </x:c>
      <x:c r="E20" t="n">
        <x:v>0</x:v>
      </x:c>
      <x:c r="F20" t="n">
        <x:v>0</x:v>
      </x:c>
      <x:c r="G20" t="str">
        <x:v>rydberg_tweezer_ecosystem_db_v1_9.xlsx</x:v>
      </x:c>
      <x:c r="H20" t="str">
        <x:v>No DB promotions; source not exhausted. Next: affiliation cleanup and forward citations.</x:v>
      </x:c>
    </x:row>
    <x:row r="21">
      <x:c r="A21" t="str">
        <x:v>v2.0</x:v>
      </x:c>
      <x:c r="B21" t="str">
        <x:v>2026-06-18</x:v>
      </x:c>
      <x:c r="C21" t="str">
        <x:v>review-cleanup</x:v>
      </x:c>
      <x:c r="D21" t="str">
        <x:v>Cleaned affiliations from Saffman-review references; promoted 5 non-duplicate nodes; regenerated map exports.</x:v>
      </x:c>
      <x:c r="E21" t="str">
        <x:v>Database; Review_Affiliation_Cleanup_v2_0; v2_0_Promotion_Summary; Map_Export</x:v>
      </x:c>
      <x:c r="F21" t="str">
        <x:v>82 entries; 5 new nodes; 82 map-ready rows</x:v>
      </x:c>
      <x:c r="G21" t="str">
        <x:v>Source citations in rows and cleanup table</x:v>
      </x:c>
      <x:c r="H21" t="str">
        <x:v>Next: exact metadata for pending R. Lin/Cesa-Sun references and forward-citation check for promoted B nodes.</x:v>
      </x:c>
    </x:row>
    <x:row r="22">
      <x:c r="A22" s="15" t="str">
        <x:v>v2.1</x:v>
      </x:c>
      <x:c r="B22" s="15" t="str">
        <x:v>2026-06-18</x:v>
      </x:c>
      <x:c r="C22" s="15" t="str">
        <x:v>pending-reference resolution + exhaustion control</x:v>
      </x:c>
      <x:c r="D22" s="15" t="str">
        <x:v>Resolved pending Saffman-review references as duplicate/merge/evidence; added source coverage, exhaustion dashboard and next-run queue.</x:v>
      </x:c>
      <x:c r="E22" s="15" t="n">
        <x:v>0</x:v>
      </x:c>
      <x:c r="F22" s="15" t="str">
        <x:v>Pending_Refs_v2_1; Source_Coverage_v2_1; Exhaustion_Dashboard_v2_1; Next_Run_Queue_v2_1</x:v>
      </x:c>
      <x:c r="G22" s="15" t="str">
        <x:v>rydberg_tweezer_ecosystem_db_v2_1.xlsx</x:v>
      </x:c>
      <x:c r="H22" s="15" t="str">
        <x:v>Map unchanged from v2.0; next: reproducible arXiv grid or Browaeys/Lahaye review mining.</x:v>
      </x:c>
    </x:row>
  </x:sheetData>
  <x:pageMargins left="0.7" right="0.7" top="0.75" bottom="0.75" header="0.3" footer="0.3"/>
  <x:tableParts count="1">
    <x:tablePart xmlns:r="http://schemas.openxmlformats.org/officeDocument/2006/relationships" r:id="Ref06326269df465c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  <x:col min="13" max="13" width="22" hidden="0" customWidth="1"/>
    <x:col min="14" max="14" width="22" hidden="0" customWidth="1"/>
  </x:cols>
  <x:sheetData>
    <x:row r="1" ht="30" customHeight="1">
      <x:c r="A1" s="44" t="str">
        <x:v>candidate_id</x:v>
      </x:c>
      <x:c r="B1" s="44" t="str">
        <x:v>raw_name</x:v>
      </x:c>
      <x:c r="C1" s="44" t="str">
        <x:v>raw_affiliation</x:v>
      </x:c>
      <x:c r="D1" s="44" t="str">
        <x:v>raw_authors</x:v>
      </x:c>
      <x:c r="E1" s="44" t="str">
        <x:v>paper_title</x:v>
      </x:c>
      <x:c r="F1" s="44" t="str">
        <x:v>year</x:v>
      </x:c>
      <x:c r="G1" s="44" t="str">
        <x:v>source_type</x:v>
      </x:c>
      <x:c r="H1" s="44" t="str">
        <x:v>source_id_or_url</x:v>
      </x:c>
      <x:c r="I1" s="44" t="str">
        <x:v>detected_keywords</x:v>
      </x:c>
      <x:c r="J1" s="44" t="str">
        <x:v>possible_country</x:v>
      </x:c>
      <x:c r="K1" s="44" t="str">
        <x:v>possible_city</x:v>
      </x:c>
      <x:c r="L1" s="44" t="str">
        <x:v>proposed_entry_id</x:v>
      </x:c>
      <x:c r="M1" s="44" t="str">
        <x:v>curation_decision</x:v>
      </x:c>
      <x:c r="N1" s="44" t="str">
        <x:v>curator_notes</x:v>
      </x:c>
    </x:row>
    <x:row r="2">
      <x:c r="A2" s="41" t="str">
        <x:v>CAND-001</x:v>
      </x:c>
      <x:c r="B2" s="41" t="str">
        <x:v>ETH Zurich / Wenchao Xu</x:v>
      </x:c>
      <x:c r="C2" s="41" t="str">
        <x:v>ETH Zurich</x:v>
      </x:c>
      <x:c r="D2" s="41" t="str">
        <x:v>Wenchao Xu</x:v>
      </x:c>
      <x:c r="E2" s="41" t="str">
        <x:v>Quantum science with Rydberg atom arrays</x:v>
      </x:c>
      <x:c r="F2" s="41" t="n">
        <x:v>2026</x:v>
      </x:c>
      <x:c r="G2" s="41" t="str">
        <x:v>seminar</x:v>
      </x:c>
      <x:c r="H2" s="41" t="str">
        <x:v>https://memento.epfl.ch/event/qse-quantum-seminar-quantum-science-with-rydberg-a/</x:v>
      </x:c>
      <x:c r="I2" s="41" t="str">
        <x:v>Rydberg atom arrays; optical tweezers</x:v>
      </x:c>
      <x:c r="J2" s="41" t="str">
        <x:v>Switzerland</x:v>
      </x:c>
      <x:c r="K2" s="41" t="str">
        <x:v>Zurich</x:v>
      </x:c>
      <x:c r="L2" s="41" t="str">
        <x:v>E-027</x:v>
      </x:c>
      <x:c r="M2" s="41" t="str">
        <x:v>keep_B</x:v>
      </x:c>
      <x:c r="N2" s="41" t="str">
        <x:v>Needs official group page and publication extraction.</x:v>
      </x:c>
    </x:row>
    <x:row r="3">
      <x:c r="A3" s="41" t="str">
        <x:v>CAND-002</x:v>
      </x:c>
      <x:c r="B3" s="41" t="str">
        <x:v>CQT atom arrays</x:v>
      </x:c>
      <x:c r="C3" s="41" t="str">
        <x:v>Centre for Quantum Technologies / NUS</x:v>
      </x:c>
      <x:c r="D3" s="41" t="str">
        <x:v>Huanqian Loh group</x:v>
      </x:c>
      <x:c r="E3" s="41" t="str">
        <x:v>Many tweezers make light work of atom-array assembly</x:v>
      </x:c>
      <x:c r="F3" s="41" t="n">
        <x:v>2023</x:v>
      </x:c>
      <x:c r="G3" s="41" t="str">
        <x:v>institutional_highlight</x:v>
      </x:c>
      <x:c r="H3" s="41" t="str">
        <x:v>https://www.cqt.sg/highlight/2023-03-tweezers-atom-array/</x:v>
      </x:c>
      <x:c r="I3" s="41" t="str">
        <x:v>optical tweezers; atom arrays</x:v>
      </x:c>
      <x:c r="J3" s="41" t="str">
        <x:v>Singapore</x:v>
      </x:c>
      <x:c r="K3" s="41" t="str">
        <x:v>Singapore</x:v>
      </x:c>
      <x:c r="L3" s="41" t="str">
        <x:v>E-026</x:v>
      </x:c>
      <x:c r="M3" s="41" t="str">
        <x:v>keep_C</x:v>
      </x:c>
      <x:c r="N3" s="41" t="str">
        <x:v>Tweezer array confirmed, Rydberg not confirmed.</x:v>
      </x:c>
    </x:row>
    <x:row r="4">
      <x:c r="A4" s="41" t="str">
        <x:v>CAND-003</x:v>
      </x:c>
      <x:c r="B4" s="41" t="str">
        <x:v>CAS Cold Atom Technology</x:v>
      </x:c>
      <x:c r="C4" s="41" t="str">
        <x:v>CAS Cold Atom Technology</x:v>
      </x:c>
      <x:c r="D4" s="41" t="str">
        <x:v>Unknown</x:v>
      </x:c>
      <x:c r="E4" s="41" t="str">
        <x:v>Hanyuan-2 neutral atom computer</x:v>
      </x:c>
      <x:c r="F4" s="41" t="n">
        <x:v>2026</x:v>
      </x:c>
      <x:c r="G4" s="41" t="str">
        <x:v>news</x:v>
      </x:c>
      <x:c r="H4" s="41" t="str">
        <x:v>https://www.tomshardware.com/tech-industry/quantum-computing/china-claims-worlds-first-dual-core-quantum-computer</x:v>
      </x:c>
      <x:c r="I4" s="41" t="str">
        <x:v>neutral atoms; company; claims</x:v>
      </x:c>
      <x:c r="J4" s="41" t="str">
        <x:v>China</x:v>
      </x:c>
      <x:c r="K4" s="41" t="str">
        <x:v>Wuhan</x:v>
      </x:c>
      <x:c r="L4" s="41" t="str">
        <x:v>E-024</x:v>
      </x:c>
      <x:c r="M4" s="41" t="str">
        <x:v>keep_C</x:v>
      </x:c>
      <x:c r="N4" s="41" t="str">
        <x:v>Needs primary technical source; press claims only.</x:v>
      </x:c>
    </x:row>
    <x:row r="5">
      <x:c r="A5" s="41" t="str">
        <x:v>CAND-004</x:v>
      </x:c>
      <x:c r="B5" s="41" t="str">
        <x:v>planqc</x:v>
      </x:c>
      <x:c r="C5" s="41" t="str">
        <x:v>planqc / MPQ spinout</x:v>
      </x:c>
      <x:c r="D5" s="41" t="str">
        <x:v>planqc team</x:v>
      </x:c>
      <x:c r="E5" s="41" t="str">
        <x:v>Optical-lattice neutral atom platform</x:v>
      </x:c>
      <x:c r="F5" s="41" t="n">
        <x:v>2026</x:v>
      </x:c>
      <x:c r="G5" s="41" t="str">
        <x:v>company/news</x:v>
      </x:c>
      <x:c r="H5" s="41" t="str">
        <x:v>https://postquantum.com/quantum-computing-companies/planqc/</x:v>
      </x:c>
      <x:c r="I5" s="41" t="str">
        <x:v>neutral atoms; optical lattice</x:v>
      </x:c>
      <x:c r="J5" s="41" t="str">
        <x:v>Germany</x:v>
      </x:c>
      <x:c r="K5" s="41" t="str">
        <x:v>Garching</x:v>
      </x:c>
      <x:c r="L5" s="41" t="str">
        <x:v>E-023</x:v>
      </x:c>
      <x:c r="M5" s="41" t="str">
        <x:v>keep_C</x:v>
      </x:c>
      <x:c r="N5" s="41" t="str">
        <x:v>Adjacent, not optical tweezers.</x:v>
      </x:c>
    </x:row>
    <x:row r="6">
      <x:c r="A6" s="41" t="str">
        <x:v>CAND-005</x:v>
      </x:c>
      <x:c r="B6" s="41" t="str">
        <x:v>DLR QCI DiNAQC</x:v>
      </x:c>
      <x:c r="C6" s="41" t="str">
        <x:v>DLR QCI</x:v>
      </x:c>
      <x:c r="D6" s="41" t="str">
        <x:v>DLR / partners</x:v>
      </x:c>
      <x:c r="E6" s="41" t="str">
        <x:v>Neutral atoms program</x:v>
      </x:c>
      <x:c r="F6" s="41" t="n">
        <x:v>2026</x:v>
      </x:c>
      <x:c r="G6" s="41" t="str">
        <x:v>program_page</x:v>
      </x:c>
      <x:c r="H6" s="41" t="str">
        <x:v>https://qci.dlr.de/en/neutral-atoms/</x:v>
      </x:c>
      <x:c r="I6" s="41" t="str">
        <x:v>neutral atoms; Rydberg states</x:v>
      </x:c>
      <x:c r="J6" s="41" t="str">
        <x:v>Germany</x:v>
      </x:c>
      <x:c r="K6" s="41" t="str">
        <x:v>unknown</x:v>
      </x:c>
      <x:c r="L6" s="41" t="str">
        <x:v>E-025</x:v>
      </x:c>
      <x:c r="M6" s="41" t="str">
        <x:v>keep_C</x:v>
      </x:c>
      <x:c r="N6" s="41" t="str">
        <x:v>Trap type unclear.</x:v>
      </x:c>
    </x:row>
    <x:row r="7">
      <x:c r="A7" s="41" t="str">
        <x:v>CAND-006</x:v>
      </x:c>
      <x:c r="B7" s="41" t="str">
        <x:v>Ohmori Group</x:v>
      </x:c>
      <x:c r="C7" s="41" t="str">
        <x:v>Institute for Molecular Science</x:v>
      </x:c>
      <x:c r="D7" s="41" t="str">
        <x:v>Kenji Ohmori; Takafumi Tomita</x:v>
      </x:c>
      <x:c r="E7" s="41" t="str">
        <x:v>Ultrafast Rydberg experiments with ultracold atoms in optical tweezers</x:v>
      </x:c>
      <x:c r="F7" s="41" t="n">
        <x:v>2024</x:v>
      </x:c>
      <x:c r="G7" s="41" t="str">
        <x:v>group_publications</x:v>
      </x:c>
      <x:c r="H7" s="41" t="str">
        <x:v>https://ohmori.ims.ac.jp/en/publications/</x:v>
      </x:c>
      <x:c r="I7" s="41" t="str">
        <x:v>ultrafast; Rydberg; optical tweezers</x:v>
      </x:c>
      <x:c r="J7" s="41" t="str">
        <x:v>Japan</x:v>
      </x:c>
      <x:c r="K7" s="41" t="str">
        <x:v>Okazaki</x:v>
      </x:c>
      <x:c r="L7" s="41" t="str">
        <x:v>E-013</x:v>
      </x:c>
      <x:c r="M7" s="41" t="str">
        <x:v>keep_B</x:v>
      </x:c>
      <x:c r="N7" s="41" t="str">
        <x:v>Needs paper-level source and species.</x:v>
      </x:c>
    </x:row>
    <x:row r="8">
      <x:c r="A8" s="41" t="str">
        <x:v>CAND-007</x:v>
      </x:c>
      <x:c r="B8" s="41" t="str">
        <x:v>LKB circular Rydberg atoms</x:v>
      </x:c>
      <x:c r="C8" s="41" t="str">
        <x:v>Laboratoire Kastler Brossel</x:v>
      </x:c>
      <x:c r="D8" s="41" t="str">
        <x:v>Raimond; Brune; Sayrin</x:v>
      </x:c>
      <x:c r="E8" s="41" t="str">
        <x:v>Array of individual circular Rydberg atoms trapped in optical tweezers</x:v>
      </x:c>
      <x:c r="F8" s="41" t="n">
        <x:v>2023</x:v>
      </x:c>
      <x:c r="G8" s="41" t="str">
        <x:v>arxiv</x:v>
      </x:c>
      <x:c r="H8" s="41" t="str">
        <x:v>https://arxiv.org/abs/2304.04831</x:v>
      </x:c>
      <x:c r="I8" s="41" t="str">
        <x:v>circular Rydberg; optical tweezers</x:v>
      </x:c>
      <x:c r="J8" s="41" t="str">
        <x:v>France</x:v>
      </x:c>
      <x:c r="K8" s="41" t="str">
        <x:v>Paris</x:v>
      </x:c>
      <x:c r="L8" s="41" t="str">
        <x:v>E-012</x:v>
      </x:c>
      <x:c r="M8" s="41" t="str">
        <x:v>keep_B</x:v>
      </x:c>
      <x:c r="N8" s="41" t="str">
        <x:v>Relevant but special subfield.</x:v>
      </x:c>
    </x:row>
    <x:row r="9">
      <x:c r="A9" s="41" t="str">
        <x:v>CAND-008</x:v>
      </x:c>
      <x:c r="B9" s="41" t="str">
        <x:v>Saffman program</x:v>
      </x:c>
      <x:c r="C9" s="41" t="str">
        <x:v>University of Wisconsin-Madison</x:v>
      </x:c>
      <x:c r="D9" s="41" t="str">
        <x:v>Mark Saffman et al.</x:v>
      </x:c>
      <x:c r="E9" s="41" t="str">
        <x:v>Rydberg mediated entanglement in a 2D neutral atom qubit array</x:v>
      </x:c>
      <x:c r="F9" s="41" t="n">
        <x:v>2019</x:v>
      </x:c>
      <x:c r="G9" s="41" t="str">
        <x:v>arxiv</x:v>
      </x:c>
      <x:c r="H9" s="41" t="str">
        <x:v>https://arxiv.org/abs/1908.06103</x:v>
      </x:c>
      <x:c r="I9" s="41" t="str">
        <x:v>Rydberg blockade; 2D neutral atom qubit array</x:v>
      </x:c>
      <x:c r="J9" s="41" t="str">
        <x:v>United States</x:v>
      </x:c>
      <x:c r="K9" s="41" t="str">
        <x:v>Madison</x:v>
      </x:c>
      <x:c r="L9" s="41" t="str">
        <x:v>E-005</x:v>
      </x:c>
      <x:c r="M9" s="41" t="str">
        <x:v>keep_B</x:v>
      </x:c>
      <x:c r="N9" s="41" t="str">
        <x:v>Find current official lab page.</x:v>
      </x:c>
    </x:row>
    <x:row r="10">
      <x:c r="A10" s="41" t="str">
        <x:v>CAND-009</x:v>
      </x:c>
      <x:c r="B10" s="41" t="str">
        <x:v>Bernien Lab dual-species arrays</x:v>
      </x:c>
      <x:c r="C10" s="41" t="str">
        <x:v>University of Chicago PME</x:v>
      </x:c>
      <x:c r="D10" s="41" t="str">
        <x:v>Hannes Bernien team</x:v>
      </x:c>
      <x:c r="E10" s="41" t="str">
        <x:v>Dual-species Rydberg interactions / QND measurements</x:v>
      </x:c>
      <x:c r="F10" s="41" t="n">
        <x:v>2024</x:v>
      </x:c>
      <x:c r="G10" s="41" t="str">
        <x:v>official_lab+news</x:v>
      </x:c>
      <x:c r="H10" s="41" t="str">
        <x:v>https://bernienlab.com/ ; https://pme.uchicago.edu/news/dual-species-rydberg-interactions-entanglement-and-new-generation-quantum-processors</x:v>
      </x:c>
      <x:c r="I10" s="41" t="str">
        <x:v>Rb; Cs; Rydberg; optical tweezers; dual species</x:v>
      </x:c>
      <x:c r="J10" s="41" t="str">
        <x:v>United States</x:v>
      </x:c>
      <x:c r="K10" s="41" t="str">
        <x:v>Chicago</x:v>
      </x:c>
      <x:c r="L10" s="41" t="str">
        <x:v>E-028</x:v>
      </x:c>
      <x:c r="M10" s="41" t="str">
        <x:v>promote_A</x:v>
      </x:c>
      <x:c r="N10" s="41" t="str">
        <x:v>Strong official confirmation; added to Database.</x:v>
      </x:c>
    </x:row>
    <x:row r="11">
      <x:c r="A11" s="41" t="str">
        <x:v>CAND-010</x:v>
      </x:c>
      <x:c r="B11" s="41" t="str">
        <x:v>MIT/Vuletic neutral-atom collaborations</x:v>
      </x:c>
      <x:c r="C11" s="41" t="str">
        <x:v>MIT / CUA</x:v>
      </x:c>
      <x:c r="D11" s="41" t="str">
        <x:v>Vladan Vuletic; Lukin collaborators</x:v>
      </x:c>
      <x:c r="E11" s="41" t="str">
        <x:v>Coherent transport, high-fidelity gates, cavity operations</x:v>
      </x:c>
      <x:c r="F11" s="41" t="n">
        <x:v>2026</x:v>
      </x:c>
      <x:c r="G11" s="41" t="str">
        <x:v>official_publication_list</x:v>
      </x:c>
      <x:c r="H11" s="41" t="str">
        <x:v>https://eapg.mit.edu/publications-by-subject/cavity-qed-with-atomic-ensembles-quantum-information-science/</x:v>
      </x:c>
      <x:c r="I11" s="41" t="str">
        <x:v>Rydberg arrays; optical tweezers; cavity; QEC</x:v>
      </x:c>
      <x:c r="J11" s="41" t="str">
        <x:v>United States</x:v>
      </x:c>
      <x:c r="K11" s="41" t="str">
        <x:v>Cambridge</x:v>
      </x:c>
      <x:c r="L11" s="41" t="str">
        <x:v>E-029</x:v>
      </x:c>
      <x:c r="M11" s="41" t="str">
        <x:v>keep_B</x:v>
      </x:c>
      <x:c r="N11" s="41" t="str">
        <x:v>Important ecosystem node but overlaps heavily with Lukin/CUA collaboration.</x:v>
      </x:c>
    </x:row>
    <x:row r="12">
      <x:c r="A12" s="41" t="str">
        <x:v>CAND-011</x:v>
      </x:c>
      <x:c r="B12" s="41" t="str">
        <x:v>Google Quantum AI neutral atom hardware team</x:v>
      </x:c>
      <x:c r="C12" s="41" t="str">
        <x:v>Google Quantum AI / JILA</x:v>
      </x:c>
      <x:c r="D12" s="41" t="str">
        <x:v>Adam Kaufman / Google team</x:v>
      </x:c>
      <x:c r="E12" s="41" t="str">
        <x:v>Neutral atom hardware expansion</x:v>
      </x:c>
      <x:c r="F12" s="41" t="n">
        <x:v>2026</x:v>
      </x:c>
      <x:c r="G12" s="41" t="str">
        <x:v>official_news</x:v>
      </x:c>
      <x:c r="H12" s="41" t="str">
        <x:v>https://blog.google/innovation-and-ai/technology/research/neutral-atom-quantum-computers/</x:v>
      </x:c>
      <x:c r="I12" s="41" t="str">
        <x:v>neutral atoms; company; Boulder; QEC candidate</x:v>
      </x:c>
      <x:c r="J12" s="41" t="str">
        <x:v>United States</x:v>
      </x:c>
      <x:c r="K12" s="41" t="str">
        <x:v>Boulder</x:v>
      </x:c>
      <x:c r="L12" s="41" t="str">
        <x:v>E-030</x:v>
      </x:c>
      <x:c r="M12" s="41" t="str">
        <x:v>keep_B</x:v>
      </x:c>
      <x:c r="N12" s="41" t="str">
        <x:v>Add as emerging industrial program; Rydberg/tweezer details still to validate.</x:v>
      </x:c>
    </x:row>
    <x:row r="13">
      <x:c r="A13" s="41" t="str">
        <x:v>CAND-012</x:v>
      </x:c>
      <x:c r="B13" s="41" t="str">
        <x:v>CIQC Neutral Atom QIS</x:v>
      </x:c>
      <x:c r="C13" s="41" t="str">
        <x:v>UC Berkeley / CIQC</x:v>
      </x:c>
      <x:c r="D13" s="41" t="str">
        <x:v>CIQC faculty</x:v>
      </x:c>
      <x:c r="E13" s="41" t="str">
        <x:v>Neutral Atom QIS research core</x:v>
      </x:c>
      <x:c r="F13" s="41" t="n">
        <x:v>2026</x:v>
      </x:c>
      <x:c r="G13" s="41" t="str">
        <x:v>program_page</x:v>
      </x:c>
      <x:c r="H13" s="41" t="str">
        <x:v>https://ciqc.berkeley.edu/research/research-cores/neutral-atom-qis/</x:v>
      </x:c>
      <x:c r="I13" s="41" t="str">
        <x:v>optical tweezer arrays; Rydberg atoms; cavities; gates</x:v>
      </x:c>
      <x:c r="J13" s="41" t="str">
        <x:v>United States</x:v>
      </x:c>
      <x:c r="K13" s="41" t="str">
        <x:v>Berkeley</x:v>
      </x:c>
      <x:c r="L13" s="41" t="str">
        <x:v>E-031</x:v>
      </x:c>
      <x:c r="M13" s="41" t="str">
        <x:v>keep_B</x:v>
      </x:c>
      <x:c r="N13" s="41" t="str">
        <x:v>Program-level node; needs split into PI/lab rows.</x:v>
      </x:c>
    </x:row>
    <x:row r="14">
      <x:c r="A14" s="41" t="str">
        <x:v>CAND-013</x:v>
      </x:c>
      <x:c r="B14" s="41" t="str">
        <x:v>Tsinghua Rydberg Atom Array 87Rb</x:v>
      </x:c>
      <x:c r="C14" s="41" t="str">
        <x:v>Tsinghua University</x:v>
      </x:c>
      <x:c r="D14" s="41" t="str">
        <x:v>Ultracold Tsinghua team</x:v>
      </x:c>
      <x:c r="E14" s="41" t="str">
        <x:v>Rydberg Atom Array 87Rb</x:v>
      </x:c>
      <x:c r="F14" s="41" t="n">
        <x:v>2025</x:v>
      </x:c>
      <x:c r="G14" s="41" t="str">
        <x:v>official_lab_page</x:v>
      </x:c>
      <x:c r="H14" s="41" t="str">
        <x:v>https://info.phys.tsinghua.edu.cn/coldquantum/raa.html</x:v>
      </x:c>
      <x:c r="I14" s="41" t="str">
        <x:v>87Rb; SLM; optical tweezers; Rydberg array</x:v>
      </x:c>
      <x:c r="J14" s="41" t="str">
        <x:v>China</x:v>
      </x:c>
      <x:c r="K14" s="41" t="str">
        <x:v>Beijing</x:v>
      </x:c>
      <x:c r="L14" s="41" t="str">
        <x:v>E-032</x:v>
      </x:c>
      <x:c r="M14" s="41" t="str">
        <x:v>promote_A</x:v>
      </x:c>
      <x:c r="N14" s="41" t="str">
        <x:v>Strong fit; added as core Asia node.</x:v>
      </x:c>
    </x:row>
    <x:row r="15">
      <x:c r="A15" s="41" t="str">
        <x:v>CAND-014</x:v>
      </x:c>
      <x:c r="B15" s="41" t="str">
        <x:v>Kyoto/Takahashi Yb Rydberg tweezer arrays</x:v>
      </x:c>
      <x:c r="C15" s="41" t="str">
        <x:v>Kyoto University</x:v>
      </x:c>
      <x:c r="D15" s="41" t="str">
        <x:v>Yoshiro Takahashi et al.</x:v>
      </x:c>
      <x:c r="E15" s="41" t="str">
        <x:v>High-resolution spectroscopy and single-photon Rydberg excitation of reconfigurable Yb atom tweezer arrays</x:v>
      </x:c>
      <x:c r="F15" s="41" t="n">
        <x:v>2022</x:v>
      </x:c>
      <x:c r="G15" s="41" t="str">
        <x:v>arxiv</x:v>
      </x:c>
      <x:c r="H15" s="41" t="str">
        <x:v>https://arxiv.org/abs/2204.07995</x:v>
      </x:c>
      <x:c r="I15" s="41" t="str">
        <x:v>Yb; Rydberg; optical tweezers; spectroscopy</x:v>
      </x:c>
      <x:c r="J15" s="41" t="str">
        <x:v>Japan</x:v>
      </x:c>
      <x:c r="K15" s="41" t="str">
        <x:v>Kyoto</x:v>
      </x:c>
      <x:c r="L15" s="41" t="str">
        <x:v>E-033</x:v>
      </x:c>
      <x:c r="M15" s="41" t="str">
        <x:v>keep_B</x:v>
      </x:c>
      <x:c r="N15" s="41" t="str">
        <x:v>Relevant AELA/Yb node; official lab identity to normalize.</x:v>
      </x:c>
    </x:row>
    <x:row r="16">
      <x:c r="A16" s="41" t="str">
        <x:v>CAND-015</x:v>
      </x:c>
      <x:c r="B16" s="41" t="str">
        <x:v>Pupillo Quantum Physics group</x:v>
      </x:c>
      <x:c r="C16" s="41" t="str">
        <x:v>Université de Strasbourg / CESQ</x:v>
      </x:c>
      <x:c r="D16" s="41" t="str">
        <x:v>Guido Pupillo</x:v>
      </x:c>
      <x:c r="E16" s="41" t="str">
        <x:v>Time-optimal gates and low-depth QEC via Rydberg arrays</x:v>
      </x:c>
      <x:c r="F16" s="41" t="n">
        <x:v>2026</x:v>
      </x:c>
      <x:c r="G16" s="41" t="str">
        <x:v>official_group+papers</x:v>
      </x:c>
      <x:c r="H16" s="41" t="str">
        <x:v>https://isis.unistra.fr/en/cesq/pupillo-quantum-physics/</x:v>
      </x:c>
      <x:c r="I16" s="41" t="str">
        <x:v>theory; QEC; Rydberg gates; QPerfect</x:v>
      </x:c>
      <x:c r="J16" s="41" t="str">
        <x:v>France</x:v>
      </x:c>
      <x:c r="K16" s="41" t="str">
        <x:v>Strasbourg</x:v>
      </x:c>
      <x:c r="L16" s="41" t="str">
        <x:v>E-034</x:v>
      </x:c>
      <x:c r="M16" s="41" t="str">
        <x:v>keep_B</x:v>
      </x:c>
      <x:c r="N16" s="41" t="str">
        <x:v>Added as theory/software node.</x:v>
      </x:c>
    </x:row>
    <x:row r="17">
      <x:c r="A17" s="41" t="str">
        <x:v>CAND-017</x:v>
      </x:c>
      <x:c r="B17" s="41" t="str">
        <x:v>Regal Group cryogenic Rydberg atom arrays</x:v>
      </x:c>
      <x:c r="C17" s="41" t="str">
        <x:v>JILA / University of Colorado Boulder</x:v>
      </x:c>
      <x:c r="D17" s="41" t="str">
        <x:v>Cindy Regal / Kaufman collaboration</x:v>
      </x:c>
      <x:c r="E17" s="41" t="str">
        <x:v>Cryogenic Rydberg atom arrays</x:v>
      </x:c>
      <x:c r="F17" s="41" t="n">
        <x:v>2026</x:v>
      </x:c>
      <x:c r="G17" s="41" t="str">
        <x:v>official_page</x:v>
      </x:c>
      <x:c r="H17" s="41" t="str">
        <x:v>https://www.colorado.edu/jila/regal-group-research</x:v>
      </x:c>
      <x:c r="I17" s="41" t="str">
        <x:v>Rydberg atoms; optical tweezers; cryogenic high vacuum</x:v>
      </x:c>
      <x:c r="J17" s="41" t="str">
        <x:v>United States</x:v>
      </x:c>
      <x:c r="K17" s="41" t="str">
        <x:v>Boulder</x:v>
      </x:c>
      <x:c r="L17" s="41" t="str">
        <x:v>E-035</x:v>
      </x:c>
      <x:c r="M17" s="41" t="str">
        <x:v>keep_B</x:v>
      </x:c>
      <x:c r="N17" s="41" t="str">
        <x:v>Processed to DB as separate apparatus/team node, possible duplicate with Kaufman.</x:v>
      </x:c>
    </x:row>
    <x:row r="18">
      <x:c r="A18" s="41" t="str">
        <x:v>CAND-018</x:v>
      </x:c>
      <x:c r="B18" s="41" t="str">
        <x:v>Covey Lab</x:v>
      </x:c>
      <x:c r="C18" s="41" t="str">
        <x:v>University of Illinois Urbana-Champaign</x:v>
      </x:c>
      <x:c r="D18" s="41" t="str">
        <x:v>Jacob P. Covey</x:v>
      </x:c>
      <x:c r="E18" s="41" t="str">
        <x:v>Photonic interface for Rydberg atom arrays</x:v>
      </x:c>
      <x:c r="F18" s="41" t="n">
        <x:v>2026</x:v>
      </x:c>
      <x:c r="G18" s="41" t="str">
        <x:v>official_profile</x:v>
      </x:c>
      <x:c r="H18" s="41" t="str">
        <x:v>https://cas.illinois.edu/person/jacob-covey</x:v>
      </x:c>
      <x:c r="I18" s="41" t="str">
        <x:v>Rydberg atom arrays; optical tweezers; photonic interface</x:v>
      </x:c>
      <x:c r="J18" s="41" t="str">
        <x:v>United States</x:v>
      </x:c>
      <x:c r="K18" s="41" t="str">
        <x:v>Urbana-Champaign</x:v>
      </x:c>
      <x:c r="L18" s="41" t="str">
        <x:v>E-036</x:v>
      </x:c>
      <x:c r="M18" s="41" t="str">
        <x:v>keep_B</x:v>
      </x:c>
      <x:c r="N18" s="41" t="str">
        <x:v>Processed to DB as interface/network node.</x:v>
      </x:c>
    </x:row>
    <x:row r="19">
      <x:c r="A19" s="41" t="str">
        <x:v>CAND-019</x:v>
      </x:c>
      <x:c r="B19" s="41" t="str">
        <x:v>Strathclyde Rydberg/neutral atom QEC candidate</x:v>
      </x:c>
      <x:c r="C19" s="41" t="str">
        <x:v>University of Strathclyde</x:v>
      </x:c>
      <x:c r="D19" s="41" t="str">
        <x:v>Jonathan Pritchard; Kieran Craig</x:v>
      </x:c>
      <x:c r="E19" s="41" t="str">
        <x:v>Neutral atom/Rydberg entanglement and QEC workshop hints</x:v>
      </x:c>
      <x:c r="F19" s="41" t="n">
        <x:v>2025</x:v>
      </x:c>
      <x:c r="G19" s="41" t="str">
        <x:v>mixed_sources</x:v>
      </x:c>
      <x:c r="H19" s="41" t="str">
        <x:v>https://qca-cluster.org/wp-content/uploads/2025/06/NeutralAtomQEC-Workshop-Programme.pdf</x:v>
      </x:c>
      <x:c r="I19" s="41" t="str">
        <x:v>Rydberg; optical tweezers; QEC; dual species</x:v>
      </x:c>
      <x:c r="J19" s="41" t="str">
        <x:v>United Kingdom</x:v>
      </x:c>
      <x:c r="K19" s="41" t="str">
        <x:v>Glasgow</x:v>
      </x:c>
      <x:c r="L19" s="41" t="str">
        <x:v>E-037</x:v>
      </x:c>
      <x:c r="M19" s="41" t="str">
        <x:v>keep_C</x:v>
      </x:c>
      <x:c r="N19" s="41" t="str">
        <x:v>Needs primary current group source before promotion.</x:v>
      </x:c>
    </x:row>
    <x:row r="20">
      <x:c r="A20" s="41" t="str">
        <x:v>CAND-020</x:v>
      </x:c>
      <x:c r="B20" s="41" t="str">
        <x:v>Hefei/Pan 2024-atom array candidate</x:v>
      </x:c>
      <x:c r="C20" s="41" t="str">
        <x:v>USTC / Hefei</x:v>
      </x:c>
      <x:c r="D20" s="41" t="str">
        <x:v>Pan group / Lin et al.</x:v>
      </x:c>
      <x:c r="E20" s="41" t="str">
        <x:v>AI-Enabled Parallel Assembly of Thousands of Defect-Free Atom Arrays</x:v>
      </x:c>
      <x:c r="F20" s="41" t="n">
        <x:v>2025</x:v>
      </x:c>
      <x:c r="G20" s="41" t="str">
        <x:v>paper</x:v>
      </x:c>
      <x:c r="H20" s="41" t="str">
        <x:v>https://link.aps.org/doi/10.1103/2ym8-vs82</x:v>
      </x:c>
      <x:c r="I20" s="41" t="str">
        <x:v>Rydberg atom arrays; 2024-atom array; optical tweezers</x:v>
      </x:c>
      <x:c r="J20" s="41" t="str">
        <x:v>China</x:v>
      </x:c>
      <x:c r="K20" s="41" t="str">
        <x:v>Hefei</x:v>
      </x:c>
      <x:c r="L20" s="41"/>
      <x:c r="M20" s="41" t="str">
        <x:v>investigate</x:v>
      </x:c>
      <x:c r="N20" s="41" t="str">
        <x:v>Could become core if lab identity and Rydberg/tweezer platform are confirmed.</x:v>
      </x:c>
    </x:row>
    <x:row r="21">
      <x:c r="A21" s="41" t="str">
        <x:v>CAND-021</x:v>
      </x:c>
      <x:c r="B21" s="41" t="str">
        <x:v>Durham/Cornish Rydberg molecules in optical tweezers</x:v>
      </x:c>
      <x:c r="C21" s="41" t="str">
        <x:v>Durham University</x:v>
      </x:c>
      <x:c r="D21" s="41" t="str">
        <x:v>Simon Cornish; Alexander Guttridge et al.</x:v>
      </x:c>
      <x:c r="E21" s="41" t="str">
        <x:v>Individual assembly of two-species Rydberg molecules using optical tweezers</x:v>
      </x:c>
      <x:c r="F21" s="41" t="n">
        <x:v>2024</x:v>
      </x:c>
      <x:c r="G21" s="41" t="str">
        <x:v>arXiv</x:v>
      </x:c>
      <x:c r="H21" s="41" t="str">
        <x:v>https://arxiv.org/abs/2412.14888</x:v>
      </x:c>
      <x:c r="I21" s="41" t="str">
        <x:v>Rydberg molecules; optical tweezers; RbCs</x:v>
      </x:c>
      <x:c r="J21" s="41" t="str">
        <x:v>United Kingdom</x:v>
      </x:c>
      <x:c r="K21" s="41" t="str">
        <x:v>Durham</x:v>
      </x:c>
      <x:c r="L21" s="41"/>
      <x:c r="M21" s="41" t="str">
        <x:v>adjacent</x:v>
      </x:c>
      <x:c r="N21" s="41" t="str">
        <x:v>Out of core QC/array scope but valuable if database includes Rydberg-molecule tweezer platforms.</x:v>
      </x:c>
    </x:row>
    <x:row r="22">
      <x:c r="A22" s="14" t="str">
        <x:v>CAND-022</x:v>
      </x:c>
      <x:c r="B22" s="14" t="str">
        <x:v>Loh Lab / Duke neutral-atom arrays</x:v>
      </x:c>
      <x:c r="C22" s="14" t="str">
        <x:v>Duke University</x:v>
      </x:c>
      <x:c r="D22" s="14" t="str">
        <x:v>Huanqian Loh</x:v>
      </x:c>
      <x:c r="E22" s="14" t="str">
        <x:v>Research overview: neutral atoms in optical tweezers; Rydberg-state long-range interactions</x:v>
      </x:c>
      <x:c r="F22" s="14" t="n">
        <x:v>2026</x:v>
      </x:c>
      <x:c r="G22" s="14" t="str">
        <x:v>official_group</x:v>
      </x:c>
      <x:c r="H22" s="14" t="str">
        <x:v>https://lohlab.pratt.duke.edu/research-overview</x:v>
      </x:c>
      <x:c r="I22" s="14" t="str">
        <x:v>optical tweezers; Rydberg states; neutral atom arrays</x:v>
      </x:c>
      <x:c r="J22" s="14" t="str">
        <x:v>United States</x:v>
      </x:c>
      <x:c r="K22" s="14" t="str">
        <x:v>Durham</x:v>
      </x:c>
      <x:c r="L22" s="14" t="str">
        <x:v>E-038</x:v>
      </x:c>
      <x:c r="M22" s="14" t="str">
        <x:v>keep_B</x:v>
      </x:c>
      <x:c r="N22" s="14" t="str">
        <x:v>Processed to DB as current Duke node; bridge to older CQT row.</x:v>
      </x:c>
    </x:row>
    <x:row r="23">
      <x:c r="A23" s="14" t="str">
        <x:v>CAND-023</x:v>
      </x:c>
      <x:c r="B23" s="14" t="str">
        <x:v>USTC/Pan large neutral-atom array</x:v>
      </x:c>
      <x:c r="C23" s="14" t="str">
        <x:v>USTC / Shanghai Research Center for Quantum Sciences</x:v>
      </x:c>
      <x:c r="D23" s="14" t="str">
        <x:v>Jian-Wei Pan; Chao-Yang Lu; Jun Rui; Rui Lin</x:v>
      </x:c>
      <x:c r="E23" s="14" t="str">
        <x:v>AI-enabled rapid assembly of thousands of defect-free neutral atom arrays</x:v>
      </x:c>
      <x:c r="F23" s="14" t="n">
        <x:v>2025</x:v>
      </x:c>
      <x:c r="G23" s="14" t="str">
        <x:v>paper+official_publications</x:v>
      </x:c>
      <x:c r="H23" s="14" t="str">
        <x:v>https://arxiv.org/abs/2412.14647</x:v>
      </x:c>
      <x:c r="I23" s="14" t="str">
        <x:v>optical tweezers; neutral atom arrays; QEC scaling</x:v>
      </x:c>
      <x:c r="J23" s="14" t="str">
        <x:v>China</x:v>
      </x:c>
      <x:c r="K23" s="14" t="str">
        <x:v>Hefei</x:v>
      </x:c>
      <x:c r="L23" s="14" t="str">
        <x:v>E-039</x:v>
      </x:c>
      <x:c r="M23" s="14" t="str">
        <x:v>keep_B</x:v>
      </x:c>
      <x:c r="N23" s="14" t="str">
        <x:v>Processed to DB as scaling/toolbox node; Rydberg role not confirmed.</x:v>
      </x:c>
    </x:row>
    <x:row r="24">
      <x:c r="A24" s="14" t="str">
        <x:v>CAND-024</x:v>
      </x:c>
      <x:c r="B24" s="14" t="str">
        <x:v>Durham Rydberg molecules in optical tweezers</x:v>
      </x:c>
      <x:c r="C24" s="14" t="str">
        <x:v>Durham University</x:v>
      </x:c>
      <x:c r="D24" s="14" t="str">
        <x:v>Simon Cornish; Alexander Guttridge; collaborators</x:v>
      </x:c>
      <x:c r="E24" s="14" t="str">
        <x:v>Individual assembly of two-species Rydberg molecules using optical tweezers</x:v>
      </x:c>
      <x:c r="F24" s="14" t="n">
        <x:v>2024</x:v>
      </x:c>
      <x:c r="G24" s="14" t="str">
        <x:v>arXiv</x:v>
      </x:c>
      <x:c r="H24" s="14" t="str">
        <x:v>https://arxiv.org/abs/2412.14888</x:v>
      </x:c>
      <x:c r="I24" s="14" t="str">
        <x:v>Rydberg molecules; optical tweezers; mixed species</x:v>
      </x:c>
      <x:c r="J24" s="14" t="str">
        <x:v>United Kingdom</x:v>
      </x:c>
      <x:c r="K24" s="14" t="str">
        <x:v>Durham</x:v>
      </x:c>
      <x:c r="L24" s="14" t="str">
        <x:v>E-040</x:v>
      </x:c>
      <x:c r="M24" s="14" t="str">
        <x:v>keep_C</x:v>
      </x:c>
      <x:c r="N24" s="14" t="str">
        <x:v>Processed to DB as adjacent Rydberg tweezer platform.</x:v>
      </x:c>
    </x:row>
    <x:row r="25">
      <x:c r="A25" s="14" t="str">
        <x:v>CAND-025</x:v>
      </x:c>
      <x:c r="B25" s="14" t="str">
        <x:v>Rice/Hazzard Rydberg-tweezer theory</x:v>
      </x:c>
      <x:c r="C25" s="14" t="str">
        <x:v>Rice University</x:v>
      </x:c>
      <x:c r="D25" s="14" t="str">
        <x:v>Kaden Hazzard group</x:v>
      </x:c>
      <x:c r="E25" s="14" t="str">
        <x:v>Synthetic dimensions and Rydberg atoms prepared in optical tweezer arrays</x:v>
      </x:c>
      <x:c r="F25" s="14" t="n">
        <x:v>2026</x:v>
      </x:c>
      <x:c r="G25" s="14" t="str">
        <x:v>official_publication_list</x:v>
      </x:c>
      <x:c r="H25" s="14" t="str">
        <x:v>https://kaden.rice.edu/publications.html</x:v>
      </x:c>
      <x:c r="I25" s="14" t="str">
        <x:v>theory; Rydberg atom optical tweezer arrays</x:v>
      </x:c>
      <x:c r="J25" s="14" t="str">
        <x:v>United States</x:v>
      </x:c>
      <x:c r="K25" s="14" t="str">
        <x:v>Houston</x:v>
      </x:c>
      <x:c r="L25" s="14" t="str">
        <x:v>E-041</x:v>
      </x:c>
      <x:c r="M25" s="14" t="str">
        <x:v>keep_B</x:v>
      </x:c>
      <x:c r="N25" s="14" t="str">
        <x:v>Processed to DB as theory node.</x:v>
      </x:c>
    </x:row>
    <x:row r="26">
      <x:c r="A26" s="14" t="str">
        <x:v>CAND-026</x:v>
      </x:c>
      <x:c r="B26" s="14" t="str">
        <x:v>Schleier-Smith Rydberg dressing ensemble arrays</x:v>
      </x:c>
      <x:c r="C26" s="14" t="str">
        <x:v>Stanford University</x:v>
      </x:c>
      <x:c r="D26" s="14" t="str">
        <x:v>Monika Schleier-Smith</x:v>
      </x:c>
      <x:c r="E26" s="14" t="str">
        <x:v>Spin squeezing by Rydberg dressing in an array of atomic ensembles</x:v>
      </x:c>
      <x:c r="F26" s="14" t="n">
        <x:v>2023</x:v>
      </x:c>
      <x:c r="G26" s="14" t="str">
        <x:v>official_publication+paper</x:v>
      </x:c>
      <x:c r="H26" s="14" t="str">
        <x:v>https://sites.google.com/stanford.edu/sslab/research/publications</x:v>
      </x:c>
      <x:c r="I26" s="14" t="str">
        <x:v>Rydberg dressing; ensemble arrays; metrology</x:v>
      </x:c>
      <x:c r="J26" s="14" t="str">
        <x:v>United States</x:v>
      </x:c>
      <x:c r="K26" s="14" t="str">
        <x:v>Stanford</x:v>
      </x:c>
      <x:c r="L26" s="14" t="str">
        <x:v>E-042</x:v>
      </x:c>
      <x:c r="M26" s="14" t="str">
        <x:v>keep_C</x:v>
      </x:c>
      <x:c r="N26" s="14" t="str">
        <x:v>Processed to DB as adjacent ensemble-array/metrology node.</x:v>
      </x:c>
    </x:row>
    <x:row r="27">
      <x:c r="A27" s="14" t="str">
        <x:v>CAND-027</x:v>
      </x:c>
      <x:c r="B27" s="14" t="str">
        <x:v>Sandia Neutral Atoms/Rydberg Computing</x:v>
      </x:c>
      <x:c r="C27" s="14" t="str">
        <x:v>Sandia National Laboratories</x:v>
      </x:c>
      <x:c r="D27" s="14" t="str">
        <x:v>Sandia neutral-atom/Rydberg team</x:v>
      </x:c>
      <x:c r="E27" s="14" t="str">
        <x:v>Neutral Atoms/Rydberg Computing program</x:v>
      </x:c>
      <x:c r="F27" s="14" t="n">
        <x:v>2026</x:v>
      </x:c>
      <x:c r="G27" s="14" t="str">
        <x:v>program_page</x:v>
      </x:c>
      <x:c r="H27" s="14" t="str">
        <x:v>https://www.sandia.gov/quantum/neutral-atoms-rydberg-computing/</x:v>
      </x:c>
      <x:c r="I27" s="14" t="str">
        <x:v>neutral atoms; Rydberg computing; national lab</x:v>
      </x:c>
      <x:c r="J27" s="14" t="str">
        <x:v>United States</x:v>
      </x:c>
      <x:c r="K27" s="14" t="str">
        <x:v>Albuquerque</x:v>
      </x:c>
      <x:c r="L27" s="14" t="str">
        <x:v>E-043</x:v>
      </x:c>
      <x:c r="M27" s="14" t="str">
        <x:v>keep_B</x:v>
      </x:c>
      <x:c r="N27" s="14" t="str">
        <x:v>Processed to DB but trap type and PIs need validation.</x:v>
      </x:c>
    </x:row>
    <x:row r="28">
      <x:c r="A28" s="14" t="str">
        <x:v>CAND-028</x:v>
      </x:c>
      <x:c r="B28" s="14" t="str">
        <x:v>Columbia metasurface neutral-atom array tools</x:v>
      </x:c>
      <x:c r="C28" s="14" t="str">
        <x:v>Columbia University / Choy-Will-Yu collaboration</x:v>
      </x:c>
      <x:c r="D28" s="14" t="str">
        <x:v>Jennifer Choy; Mikhail Kats; Chengyu Fang; Minjeong Kim; Mark Saffman</x:v>
      </x:c>
      <x:c r="E28" s="14" t="str">
        <x:v>Metasurfaces for neutral-atom trapping</x:v>
      </x:c>
      <x:c r="F28" s="14" t="n">
        <x:v>2026</x:v>
      </x:c>
      <x:c r="G28" s="14" t="str">
        <x:v>review/arxiv</x:v>
      </x:c>
      <x:c r="H28" s="14" t="str">
        <x:v>https://arxiv.org/abs/2605.30498</x:v>
      </x:c>
      <x:c r="I28" s="14" t="str">
        <x:v>metasurfaces; optical tweezers; scaling; neutral atoms</x:v>
      </x:c>
      <x:c r="J28" s="14" t="str">
        <x:v>United States</x:v>
      </x:c>
      <x:c r="K28" s="14" t="str">
        <x:v>New York</x:v>
      </x:c>
      <x:c r="L28" s="14"/>
      <x:c r="M28" s="14" t="str">
        <x:v>investigate</x:v>
      </x:c>
      <x:c r="N28" s="14" t="str">
        <x:v>Tool/enabling-technology node, not a group doing Rydberg arrays yet; could become a 'technology providers/enablers' layer.</x:v>
      </x:c>
    </x:row>
    <x:row r="29">
      <x:c r="A29"/>
      <x:c r="B29"/>
      <x:c r="C29"/>
      <x:c r="D29"/>
      <x:c r="E29"/>
      <x:c r="F29"/>
      <x:c r="G29"/>
      <x:c r="H29"/>
      <x:c r="I29"/>
      <x:c r="J29"/>
      <x:c r="K29"/>
      <x:c r="L29"/>
      <x:c r="M29"/>
      <x:c r="N29"/>
    </x:row>
    <x:row r="30">
      <x:c r="A30"/>
      <x:c r="B30"/>
      <x:c r="C30"/>
      <x:c r="D30"/>
      <x:c r="E30"/>
      <x:c r="F30"/>
      <x:c r="G30"/>
      <x:c r="H30"/>
      <x:c r="I30"/>
      <x:c r="J30"/>
      <x:c r="K30"/>
      <x:c r="L30"/>
      <x:c r="M30"/>
      <x:c r="N30"/>
    </x:row>
    <x:row r="31">
      <x:c r="A31"/>
      <x:c r="B31"/>
      <x:c r="C31"/>
      <x:c r="D31"/>
      <x:c r="E31"/>
      <x:c r="F31"/>
      <x:c r="G31"/>
      <x:c r="H31"/>
      <x:c r="I31"/>
      <x:c r="J31"/>
      <x:c r="K31"/>
      <x:c r="L31"/>
      <x:c r="M31"/>
      <x:c r="N31"/>
    </x:row>
    <x:row r="32">
      <x:c r="A32"/>
      <x:c r="B32"/>
      <x:c r="C32"/>
      <x:c r="D32"/>
      <x:c r="E32"/>
      <x:c r="F32"/>
      <x:c r="G32"/>
      <x:c r="H32"/>
      <x:c r="I32"/>
      <x:c r="J32"/>
      <x:c r="K32"/>
      <x:c r="L32"/>
      <x:c r="M32"/>
      <x:c r="N32"/>
    </x:row>
    <x:row r="33">
      <x:c r="A33"/>
      <x:c r="B33"/>
      <x:c r="C33"/>
      <x:c r="D33"/>
      <x:c r="E33"/>
      <x:c r="F33"/>
      <x:c r="G33"/>
      <x:c r="H33"/>
      <x:c r="I33"/>
      <x:c r="J33"/>
      <x:c r="K33"/>
      <x:c r="L33"/>
      <x:c r="M33"/>
      <x:c r="N33"/>
    </x:row>
    <x:row r="34">
      <x:c r="A34"/>
      <x:c r="B34"/>
      <x:c r="C34"/>
      <x:c r="D34"/>
      <x:c r="E34"/>
      <x:c r="F34"/>
      <x:c r="G34"/>
      <x:c r="H34"/>
      <x:c r="I34"/>
      <x:c r="J34"/>
      <x:c r="K34"/>
      <x:c r="L34"/>
      <x:c r="M34"/>
      <x:c r="N34"/>
    </x:row>
    <x:row r="35">
      <x:c r="A35"/>
      <x:c r="B35"/>
      <x:c r="C35"/>
      <x:c r="D35"/>
      <x:c r="E35"/>
      <x:c r="F35"/>
      <x:c r="G35"/>
      <x:c r="H35"/>
      <x:c r="I35"/>
      <x:c r="J35"/>
      <x:c r="K35"/>
      <x:c r="L35"/>
      <x:c r="M35"/>
      <x:c r="N35"/>
    </x:row>
    <x:row r="36">
      <x:c r="A36"/>
      <x:c r="B36"/>
      <x:c r="C36"/>
      <x:c r="D36"/>
      <x:c r="E36"/>
      <x:c r="F36"/>
      <x:c r="G36"/>
      <x:c r="H36"/>
      <x:c r="I36"/>
      <x:c r="J36"/>
      <x:c r="K36"/>
      <x:c r="L36"/>
      <x:c r="M36"/>
      <x:c r="N36"/>
    </x:row>
    <x:row r="37">
      <x:c r="A37"/>
      <x:c r="B37"/>
      <x:c r="C37"/>
      <x:c r="D37"/>
      <x:c r="E37"/>
      <x:c r="F37"/>
      <x:c r="G37"/>
      <x:c r="H37"/>
      <x:c r="I37"/>
      <x:c r="J37"/>
      <x:c r="K37"/>
      <x:c r="L37"/>
      <x:c r="M37"/>
      <x:c r="N37"/>
    </x:row>
    <x:row r="38">
      <x:c r="A38"/>
      <x:c r="B38"/>
      <x:c r="C38"/>
      <x:c r="D38"/>
      <x:c r="E38"/>
      <x:c r="F38"/>
      <x:c r="G38"/>
      <x:c r="H38"/>
      <x:c r="I38"/>
      <x:c r="J38"/>
      <x:c r="K38"/>
      <x:c r="L38"/>
      <x:c r="M38"/>
      <x:c r="N38"/>
    </x:row>
    <x:row r="39">
      <x:c r="A39"/>
      <x:c r="B39"/>
      <x:c r="C39"/>
      <x:c r="D39"/>
      <x:c r="E39"/>
      <x:c r="F39"/>
      <x:c r="G39"/>
      <x:c r="H39"/>
      <x:c r="I39"/>
      <x:c r="J39"/>
      <x:c r="K39"/>
      <x:c r="L39"/>
      <x:c r="M39"/>
      <x:c r="N39"/>
    </x:row>
    <x:row r="40">
      <x:c r="A40"/>
      <x:c r="B40"/>
      <x:c r="C40"/>
      <x:c r="D40"/>
      <x:c r="E40"/>
      <x:c r="F40"/>
      <x:c r="G40"/>
      <x:c r="H40"/>
      <x:c r="I40"/>
      <x:c r="J40"/>
      <x:c r="K40"/>
      <x:c r="L40"/>
      <x:c r="M40"/>
      <x:c r="N40"/>
    </x:row>
    <x:row r="41">
      <x:c r="A41"/>
      <x:c r="B41"/>
      <x:c r="C41"/>
      <x:c r="D41"/>
      <x:c r="E41"/>
      <x:c r="F41"/>
      <x:c r="G41"/>
      <x:c r="H41"/>
      <x:c r="I41"/>
      <x:c r="J41"/>
      <x:c r="K41"/>
      <x:c r="L41"/>
      <x:c r="M41"/>
      <x:c r="N41"/>
    </x:row>
    <x:row r="42">
      <x:c r="A42"/>
      <x:c r="B42"/>
      <x:c r="C42"/>
      <x:c r="D42"/>
      <x:c r="E42"/>
      <x:c r="F42"/>
      <x:c r="G42"/>
      <x:c r="H42"/>
      <x:c r="I42"/>
      <x:c r="J42"/>
      <x:c r="K42"/>
      <x:c r="L42"/>
      <x:c r="M42"/>
      <x:c r="N42"/>
    </x:row>
    <x:row r="43">
      <x:c r="A43"/>
      <x:c r="B43"/>
      <x:c r="C43"/>
      <x:c r="D43"/>
      <x:c r="E43"/>
      <x:c r="F43"/>
      <x:c r="G43"/>
      <x:c r="H43"/>
      <x:c r="I43"/>
      <x:c r="J43"/>
      <x:c r="K43"/>
      <x:c r="L43"/>
      <x:c r="M43"/>
      <x:c r="N43"/>
    </x:row>
    <x:row r="44">
      <x:c r="A44"/>
      <x:c r="B44"/>
      <x:c r="C44"/>
      <x:c r="D44"/>
      <x:c r="E44"/>
      <x:c r="F44"/>
      <x:c r="G44"/>
      <x:c r="H44"/>
      <x:c r="I44"/>
      <x:c r="J44"/>
      <x:c r="K44"/>
      <x:c r="L44"/>
      <x:c r="M44"/>
      <x:c r="N44"/>
    </x:row>
    <x:row r="45">
      <x:c r="A45"/>
      <x:c r="B45"/>
      <x:c r="C45"/>
      <x:c r="D45"/>
      <x:c r="E45"/>
      <x:c r="F45"/>
      <x:c r="G45"/>
      <x:c r="H45"/>
      <x:c r="I45"/>
      <x:c r="J45"/>
      <x:c r="K45"/>
      <x:c r="L45"/>
      <x:c r="M45"/>
      <x:c r="N45"/>
    </x:row>
    <x:row r="46">
      <x:c r="A46"/>
      <x:c r="B46"/>
      <x:c r="C46"/>
      <x:c r="D46"/>
      <x:c r="E46"/>
      <x:c r="F46"/>
      <x:c r="G46"/>
      <x:c r="H46"/>
      <x:c r="I46"/>
      <x:c r="J46"/>
      <x:c r="K46"/>
      <x:c r="L46"/>
      <x:c r="M46"/>
      <x:c r="N46"/>
    </x:row>
    <x:row r="47">
      <x:c r="A47"/>
      <x:c r="B47"/>
      <x:c r="C47"/>
      <x:c r="D47"/>
      <x:c r="E47"/>
      <x:c r="F47"/>
      <x:c r="G47"/>
      <x:c r="H47"/>
      <x:c r="I47"/>
      <x:c r="J47"/>
      <x:c r="K47"/>
      <x:c r="L47"/>
      <x:c r="M47"/>
      <x:c r="N47"/>
    </x:row>
    <x:row r="48">
      <x:c r="A48"/>
      <x:c r="B48"/>
      <x:c r="C48"/>
      <x:c r="D48"/>
      <x:c r="E48"/>
      <x:c r="F48"/>
      <x:c r="G48"/>
      <x:c r="H48"/>
      <x:c r="I48"/>
      <x:c r="J48"/>
      <x:c r="K48"/>
      <x:c r="L48"/>
      <x:c r="M48"/>
      <x:c r="N48"/>
    </x:row>
    <x:row r="49">
      <x:c r="A49"/>
      <x:c r="B49"/>
      <x:c r="C49"/>
      <x:c r="D49"/>
      <x:c r="E49"/>
      <x:c r="F49"/>
      <x:c r="G49"/>
      <x:c r="H49"/>
      <x:c r="I49"/>
      <x:c r="J49"/>
      <x:c r="K49"/>
      <x:c r="L49"/>
      <x:c r="M49"/>
      <x:c r="N49"/>
    </x:row>
    <x:row r="50">
      <x:c r="A50"/>
      <x:c r="B50"/>
      <x:c r="C50"/>
      <x:c r="D50"/>
      <x:c r="E50"/>
      <x:c r="F50"/>
      <x:c r="G50"/>
      <x:c r="H50"/>
      <x:c r="I50"/>
      <x:c r="J50"/>
      <x:c r="K50"/>
      <x:c r="L50"/>
      <x:c r="M50"/>
      <x:c r="N50"/>
    </x:row>
    <x:row r="51">
      <x:c r="A51"/>
      <x:c r="B51"/>
      <x:c r="C51"/>
      <x:c r="D51"/>
      <x:c r="E51"/>
      <x:c r="F51"/>
      <x:c r="G51"/>
      <x:c r="H51"/>
      <x:c r="I51"/>
      <x:c r="J51"/>
      <x:c r="K51"/>
      <x:c r="L51"/>
      <x:c r="M51"/>
      <x:c r="N51"/>
    </x:row>
  </x:sheetData>
  <x:dataValidations count="1">
    <x:dataValidation type="list" sqref="M2:M51">
      <x:formula1>"promote_to_database,merge_duplicate,needs_review,exclude"</x:formula1>
    </x:dataValidation>
  </x:dataValidations>
  <x:pageMargins left="0.7" right="0.7" top="0.75" bottom="0.75" header="0.3" footer="0.3"/>
  <x:tableParts count="2">
    <x:tablePart xmlns:r="http://schemas.openxmlformats.org/officeDocument/2006/relationships" r:id="R47610e5a5dfa4288"/>
    <x:tablePart xmlns:r="http://schemas.openxmlformats.org/officeDocument/2006/relationships" r:id="R0e5545020af74825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</x:cols>
  <x:sheetData>
    <x:row r="1">
      <x:c r="A1" s="21" t="str">
        <x:v>entity_type</x:v>
      </x:c>
      <x:c r="B1" s="21" t="str">
        <x:v>status</x:v>
      </x:c>
      <x:c r="C1" s="21" t="str">
        <x:v>confidence</x:v>
      </x:c>
      <x:c r="D1" s="21" t="str">
        <x:v>optical_tweezers</x:v>
      </x:c>
      <x:c r="E1" s="21" t="str">
        <x:v>experimental_mode</x:v>
      </x:c>
      <x:c r="F1" s="21" t="str">
        <x:v>species</x:v>
      </x:c>
    </x:row>
    <x:row r="2">
      <x:c r="A2" t="str">
        <x:v>academic</x:v>
      </x:c>
      <x:c r="B2" t="str">
        <x:v>candidate</x:v>
      </x:c>
      <x:c r="C2" t="str">
        <x:v>A</x:v>
      </x:c>
      <x:c r="D2" t="str">
        <x:v>yes</x:v>
      </x:c>
      <x:c r="E2" t="str">
        <x:v>experimental</x:v>
      </x:c>
      <x:c r="F2" t="str">
        <x:v>Rb</x:v>
      </x:c>
    </x:row>
    <x:row r="3">
      <x:c r="A3" t="str">
        <x:v>company</x:v>
      </x:c>
      <x:c r="B3" t="str">
        <x:v>verified</x:v>
      </x:c>
      <x:c r="C3" t="str">
        <x:v>B</x:v>
      </x:c>
      <x:c r="D3" t="str">
        <x:v>no</x:v>
      </x:c>
      <x:c r="E3" t="str">
        <x:v>theory</x:v>
      </x:c>
      <x:c r="F3" t="str">
        <x:v>Cs</x:v>
      </x:c>
    </x:row>
    <x:row r="4">
      <x:c r="A4" t="str">
        <x:v>national_lab</x:v>
      </x:c>
      <x:c r="B4" t="str">
        <x:v>needs_review</x:v>
      </x:c>
      <x:c r="C4" t="str">
        <x:v>C</x:v>
      </x:c>
      <x:c r="D4" t="str">
        <x:v>unclear</x:v>
      </x:c>
      <x:c r="E4" t="str">
        <x:v>mixed</x:v>
      </x:c>
      <x:c r="F4" t="str">
        <x:v>Sr</x:v>
      </x:c>
    </x:row>
    <x:row r="5">
      <x:c r="A5" t="str">
        <x:v>theory_group</x:v>
      </x:c>
      <x:c r="B5" t="str">
        <x:v>excluded</x:v>
      </x:c>
      <x:c r="C5" t="str">
        <x:v>Exclude</x:v>
      </x:c>
      <x:c r="D5" t="str">
        <x:v>not_applicable</x:v>
      </x:c>
      <x:c r="E5" t="str">
        <x:v>software</x:v>
      </x:c>
      <x:c r="F5" t="str">
        <x:v>Yb</x:v>
      </x:c>
    </x:row>
    <x:row r="6">
      <x:c r="A6" t="str">
        <x:v>mixed_team</x:v>
      </x:c>
      <x:c r="B6" t="str">
        <x:v>archived</x:v>
      </x:c>
      <x:c r="C6"/>
      <x:c r="D6"/>
      <x:c r="E6" t="str">
        <x:v>company</x:v>
      </x:c>
      <x:c r="F6" t="str">
        <x:v>Na</x:v>
      </x:c>
    </x:row>
    <x:row r="7">
      <x:c r="A7" t="str">
        <x:v>consortium</x:v>
      </x:c>
      <x:c r="B7"/>
      <x:c r="C7"/>
      <x:c r="D7"/>
      <x:c r="E7" t="str">
        <x:v>unknown</x:v>
      </x:c>
      <x:c r="F7" t="str">
        <x:v>K</x:v>
      </x:c>
    </x:row>
    <x:row r="8">
      <x:c r="A8" t="str">
        <x:v>software_project</x:v>
      </x:c>
      <x:c r="B8"/>
      <x:c r="C8"/>
      <x:c r="D8"/>
      <x:c r="E8"/>
      <x:c r="F8" t="str">
        <x:v>mixed</x:v>
      </x:c>
    </x:row>
    <x:row r="9">
      <x:c r="A9"/>
      <x:c r="B9"/>
      <x:c r="C9"/>
      <x:c r="D9"/>
      <x:c r="E9"/>
      <x:c r="F9" t="str">
        <x:v>unknown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5.130000114440918" hidden="0" customWidth="1"/>
    <x:col min="2" max="2" width="4.380000114440918" hidden="0" customWidth="1"/>
    <x:col min="3" max="3" width="4.630000114440918" hidden="0" customWidth="1"/>
    <x:col min="5" max="5" width="13.880000114440918" hidden="0" customWidth="1"/>
    <x:col min="6" max="6" width="72" hidden="0" customWidth="1"/>
  </x:cols>
  <x:sheetData>
    <x:row r="1" ht="15" hidden="0" customHeight="1">
      <x:c r="A1" s="44" t="str">
        <x:v>Metric</x:v>
      </x:c>
      <x:c r="B1" s="44" t="str">
        <x:v>Value</x:v>
      </x:c>
      <x:c r="C1" s="44" t="str">
        <x:v>Notes</x:v>
      </x:c>
      <x:c r="E1" s="71" t="str">
        <x:v>Arxiv PI pilot v0.7</x:v>
      </x:c>
      <x:c r="F1" s="71"/>
      <x:c r="G1" s="71"/>
      <x:c r="H1" s="71"/>
      <x:c r="I1" s="71"/>
      <x:c r="J1" s="71"/>
    </x:row>
    <x:row r="2" ht="15" hidden="0" customHeight="1">
      <x:c r="A2" s="41" t="str">
        <x:v>Version</x:v>
      </x:c>
      <x:c r="B2" s="41" t="str">
        <x:v>v0.2</x:v>
      </x:c>
      <x:c r="C2" s="41" t="str">
        <x:v>First factual seed population.</x:v>
      </x:c>
      <x:c r="E2" s="14" t="str">
        <x:v>Date</x:v>
      </x:c>
      <x:c r="F2" s="14" t="str">
        <x:v>2026-06-17</x:v>
      </x:c>
      <x:c r="G2" s="14"/>
      <x:c r="H2" s="14"/>
      <x:c r="I2" s="14"/>
      <x:c r="J2" s="14"/>
    </x:row>
    <x:row r="3" ht="15" hidden="0" customHeight="1">
      <x:c r="A3" s="41" t="str">
        <x:v>Database entries</x:v>
      </x:c>
      <x:c r="B3" s="41" t="n">
        <x:v>27</x:v>
      </x:c>
      <x:c r="C3" s="41" t="str">
        <x:v>Includes A/B/C and candidates; not exhaustive.</x:v>
      </x:c>
      <x:c r="E3" s="14" t="str">
        <x:v>Scope</x:v>
      </x:c>
      <x:c r="F3" s="14" t="str">
        <x:v>Manual arXiv/web pilot: 2024-2026 only; Rydberg + neutral atoms + tweezers/arrays + theory/QEC/control.</x:v>
      </x:c>
      <x:c r="G3" s="14"/>
      <x:c r="H3" s="14"/>
      <x:c r="I3" s="14"/>
      <x:c r="J3" s="14"/>
    </x:row>
    <x:row r="4" ht="15" hidden="0" customHeight="1">
      <x:c r="A4" s="41" t="str">
        <x:v>A core entries</x:v>
      </x:c>
      <x:c r="B4" s="41" t="n">
        <x:v>12</x:v>
      </x:c>
      <x:c r="C4" s="41" t="str">
        <x:v>Strong evidence for Rydberg + neutral atoms + optical tweezers or core company platform.</x:v>
      </x:c>
      <x:c r="E4" s="14" t="str">
        <x:v>Rows added to Arxiv_PI_Map_2024_2026</x:v>
      </x:c>
      <x:c r="F4" s="14" t="n">
        <x:v>20</x:v>
      </x:c>
      <x:c r="G4" s="14"/>
      <x:c r="H4" s="14"/>
      <x:c r="I4" s="14"/>
      <x:c r="J4" s="14"/>
    </x:row>
    <x:row r="5" ht="15" hidden="0" customHeight="1">
      <x:c r="A5" s="41" t="str">
        <x:v>B relevant entries</x:v>
      </x:c>
      <x:c r="B5" s="41" t="n">
        <x:v>11</x:v>
      </x:c>
      <x:c r="C5" s="41" t="str">
        <x:v>Relevant but needs better source, exact trap/Rydberg validation, or is theory/software.</x:v>
      </x:c>
      <x:c r="E5" s="14" t="str">
        <x:v>Unique last-author/PI candidates</x:v>
      </x:c>
      <x:c r="F5" s="14" t="n">
        <x:v>17</x:v>
      </x:c>
      <x:c r="G5" s="14"/>
      <x:c r="H5" s="14"/>
      <x:c r="I5" s="14"/>
      <x:c r="J5" s="14"/>
    </x:row>
    <x:row r="6" ht="15" hidden="0" customHeight="1">
      <x:c r="A6" s="41" t="str">
        <x:v>C adjacent/candidate entries</x:v>
      </x:c>
      <x:c r="B6" s="41" t="n">
        <x:v>4</x:v>
      </x:c>
      <x:c r="C6" s="41" t="str">
        <x:v>Strategically adjacent or insufficiently verified.</x:v>
      </x:c>
      <x:c r="E6" s="14" t="str">
        <x:v>Core experimental/mixed rows</x:v>
      </x:c>
      <x:c r="F6" s="14" t="n">
        <x:v>9</x:v>
      </x:c>
      <x:c r="G6" s="14"/>
      <x:c r="H6" s="14"/>
      <x:c r="I6" s="14"/>
      <x:c r="J6" s="14"/>
    </x:row>
    <x:row r="7" ht="15" hidden="0" customHeight="1">
      <x:c r="A7" s="41" t="str">
        <x:v>Review seeds</x:v>
      </x:c>
      <x:c r="B7" s="41" t="n">
        <x:v>8</x:v>
      </x:c>
      <x:c r="C7" s="41" t="str">
        <x:v>Reviews/perspectives queued for citation mining.</x:v>
      </x:c>
      <x:c r="E7" s="14" t="str">
        <x:v>Rows needing manual affiliation check</x:v>
      </x:c>
      <x:c r="F7" s="14" t="n">
        <x:v>11</x:v>
      </x:c>
      <x:c r="G7" s="14"/>
      <x:c r="H7" s="14"/>
      <x:c r="I7" s="14"/>
      <x:c r="J7" s="14"/>
    </x:row>
    <x:row r="8" ht="15" hidden="0" customHeight="1">
      <x:c r="A8" s="41" t="str">
        <x:v>Arxiv query seeds</x:v>
      </x:c>
      <x:c r="B8" s="41" t="n">
        <x:v>8</x:v>
      </x:c>
      <x:c r="C8" s="41" t="str">
        <x:v>Manual seed run only; exhaustive API run pending.</x:v>
      </x:c>
      <x:c r="E8" s="14" t="str">
        <x:v>Important caveat</x:v>
      </x:c>
      <x:c r="F8" s="14" t="str">
        <x:v>Last author is only a PI proxy; affiliations must be validated before DB promotion.</x:v>
      </x:c>
      <x:c r="G8" s="14"/>
      <x:c r="H8" s="14"/>
      <x:c r="I8" s="14"/>
      <x:c r="J8" s="14"/>
    </x:row>
    <x:row r="9">
      <x:c r="A9" s="41" t="str">
        <x:v>Last verified</x:v>
      </x:c>
      <x:c r="B9" s="41" t="str">
        <x:v>2026-06-17</x:v>
      </x:c>
      <x:c r="C9" s="41" t="str">
        <x:v>City-level coordinates are approximate.</x:v>
      </x:c>
    </x:row>
    <x:row r="10">
      <x:c r="A10" s="41"/>
      <x:c r="B10" s="41"/>
      <x:c r="C10" s="41"/>
    </x:row>
    <x:row r="11">
      <x:c r="A11" s="41" t="str">
        <x:v>Metric</x:v>
      </x:c>
      <x:c r="B11" s="41" t="str">
        <x:v>Value</x:v>
      </x:c>
      <x:c r="C11" s="41" t="str">
        <x:v>Notes</x:v>
      </x:c>
    </x:row>
    <x:row r="12">
      <x:c r="A12" s="41" t="str">
        <x:v>Database entries total</x:v>
      </x:c>
      <x:c r="B12" s="41" t="n">
        <x:v>34</x:v>
      </x:c>
      <x:c r="C12" s="41" t="str">
        <x:v>After adding E-028 to E-034</x:v>
      </x:c>
    </x:row>
    <x:row r="13">
      <x:c r="A13" s="41" t="str">
        <x:v>A core entries</x:v>
      </x:c>
      <x:c r="B13" s="41" t="n">
        <x:v>15</x:v>
      </x:c>
      <x:c r="C13" s="41" t="str">
        <x:v>Approximate manual count after v0.3</x:v>
      </x:c>
    </x:row>
    <x:row r="14">
      <x:c r="A14" s="41" t="str">
        <x:v>B relevant entries</x:v>
      </x:c>
      <x:c r="B14" s="41" t="n">
        <x:v>16</x:v>
      </x:c>
      <x:c r="C14" s="41" t="str">
        <x:v>Includes theory/mixed/candidate industrial rows</x:v>
      </x:c>
    </x:row>
    <x:row r="15">
      <x:c r="A15" s="41" t="str">
        <x:v>C adjacent entries</x:v>
      </x:c>
      <x:c r="B15" s="41" t="n">
        <x:v>3</x:v>
      </x:c>
      <x:c r="C15" s="41" t="str">
        <x:v>Planqc/CAS/DLR-like adjacent rows remain for later validation</x:v>
      </x:c>
    </x:row>
    <x:row r="16">
      <x:c r="A16" s="41" t="str">
        <x:v>New v0.3 focus</x:v>
      </x:c>
      <x:c r="B16" s="41" t="str">
        <x:v>US/Asia expansion + theory/QEC</x:v>
      </x:c>
      <x:c r="C16" s="41" t="str">
        <x:v>Bernien, MIT/Vuletic, Google, Berkeley, Tsinghua, Kyoto, Pupillo</x:v>
      </x:c>
    </x:row>
    <x:row r="17">
      <x:c r="A17" s="41" t="str">
        <x:v>New sheet</x:v>
      </x:c>
      <x:c r="B17" s="41" t="str">
        <x:v>Citation_Queue</x:v>
      </x:c>
      <x:c r="C17" s="41" t="str">
        <x:v>Tracks papers/reviews to mine for citations and entities</x:v>
      </x:c>
    </x:row>
    <x:row r="18">
      <x:c r="A18" s="41" t="str">
        <x:v>Next pass</x:v>
      </x:c>
      <x:c r="B18" s="41" t="str">
        <x:v>Review citation mining</x:v>
      </x:c>
      <x:c r="C18" s="41" t="str">
        <x:v>Start with REV-001/REV-006/REV-010 and HIT-004/HIT-005</x:v>
      </x:c>
    </x:row>
    <x:row r="19">
      <x:c r="A19" s="41"/>
      <x:c r="B19" s="41"/>
      <x:c r="C19" s="41"/>
    </x:row>
    <x:row r="20">
      <x:c r="A20" s="41"/>
      <x:c r="B20" s="41"/>
      <x:c r="C20" s="41"/>
    </x:row>
    <x:row r="21">
      <x:c r="A21" s="41" t="str">
        <x:v>Metric</x:v>
      </x:c>
      <x:c r="B21" s="41" t="str">
        <x:v>Value</x:v>
      </x:c>
      <x:c r="C21" s="41" t="str">
        <x:v>Notes</x:v>
      </x:c>
    </x:row>
    <x:row r="22">
      <x:c r="A22" s="41" t="str">
        <x:v>Database entries total</x:v>
      </x:c>
      <x:c r="B22" s="41" t="n">
        <x:v>37</x:v>
      </x:c>
      <x:c r="C22" s="41" t="str">
        <x:v>After adding E-035 to E-037</x:v>
      </x:c>
    </x:row>
    <x:row r="23">
      <x:c r="A23" s="41" t="str">
        <x:v>New DB rows</x:v>
      </x:c>
      <x:c r="B23" s="41" t="n">
        <x:v>3</x:v>
      </x:c>
      <x:c r="C23" s="41" t="str">
        <x:v>Regal/JILA, Covey/UIUC, Strathclyde candidate</x:v>
      </x:c>
    </x:row>
    <x:row r="24">
      <x:c r="A24" s="41" t="str">
        <x:v>Citation queue total</x:v>
      </x:c>
      <x:c r="B24" s="41" t="n">
        <x:v>25</x:v>
      </x:c>
      <x:c r="C24" s="41" t="str">
        <x:v>Added recent 2026 arXiv/QEC/theory hits and processed official sources</x:v>
      </x:c>
    </x:row>
    <x:row r="25">
      <x:c r="A25" s="41" t="str">
        <x:v>Candidate staging total</x:v>
      </x:c>
      <x:c r="B25" s="41" t="n">
        <x:v>21</x:v>
      </x:c>
      <x:c r="C25" s="41" t="str">
        <x:v>Added CAND-017 to CAND-021</x:v>
      </x:c>
    </x:row>
    <x:row r="26">
      <x:c r="A26" s="41" t="str">
        <x:v>New v0.4 focus</x:v>
      </x:c>
      <x:c r="B26" s="41" t="str">
        <x:v>Interface/cryogenic/QEC citation pass</x:v>
      </x:c>
      <x:c r="C26" s="41" t="str">
        <x:v>A small controlled pass rather than a broad exhaustive scrape</x:v>
      </x:c>
    </x:row>
    <x:row r="27">
      <x:c r="A27" s="41" t="str">
        <x:v>Next pass</x:v>
      </x:c>
      <x:c r="B27" s="41" t="str">
        <x:v>Mine HIT-017 to HIT-021</x:v>
      </x:c>
      <x:c r="C27" s="41" t="str">
        <x:v>Use papers to extract coauthors, affiliations and theory/company nodes</x:v>
      </x:c>
    </x:row>
    <x:row r="28">
      <x:c r="A28" s="14"/>
      <x:c r="B28" s="14"/>
      <x:c r="C28" s="14"/>
    </x:row>
    <x:row r="29">
      <x:c r="A29" s="14" t="str">
        <x:v>Metric</x:v>
      </x:c>
      <x:c r="B29" s="14" t="str">
        <x:v>Value</x:v>
      </x:c>
      <x:c r="C29" s="14" t="str">
        <x:v>Notes</x:v>
      </x:c>
    </x:row>
    <x:row r="30">
      <x:c r="A30" s="14" t="str">
        <x:v>Database entries total</x:v>
      </x:c>
      <x:c r="B30" s="14" t="n">
        <x:v>43</x:v>
      </x:c>
      <x:c r="C30" s="14" t="str">
        <x:v>After adding E-038 to E-043</x:v>
      </x:c>
    </x:row>
    <x:row r="31">
      <x:c r="A31" s="14" t="str">
        <x:v>New DB rows</x:v>
      </x:c>
      <x:c r="B31" s="14" t="n">
        <x:v>6</x:v>
      </x:c>
      <x:c r="C31" s="14" t="str">
        <x:v>Duke/Loh, USTC/Pan-Lu-Rui, Durham, Rice/Hazzard, Stanford Schleier-Smith, Sandia</x:v>
      </x:c>
    </x:row>
    <x:row r="32">
      <x:c r="A32" s="14" t="str">
        <x:v>Citation queue total</x:v>
      </x:c>
      <x:c r="B32" s="14" t="n">
        <x:v>32</x:v>
      </x:c>
      <x:c r="C32" s="14" t="str">
        <x:v>Added HIT-026 to HIT-032</x:v>
      </x:c>
    </x:row>
    <x:row r="33">
      <x:c r="A33" s="14" t="str">
        <x:v>Candidate staging total</x:v>
      </x:c>
      <x:c r="B33" s="14" t="n">
        <x:v>28</x:v>
      </x:c>
      <x:c r="C33" s="14" t="str">
        <x:v>Added CAND-022 to CAND-028</x:v>
      </x:c>
    </x:row>
    <x:row r="34">
      <x:c r="A34" s="14" t="str">
        <x:v>New v0.5 focus</x:v>
      </x:c>
      <x:c r="B34" s="14" t="str">
        <x:v>Asia/US/UK + theory/adjacent validation</x:v>
      </x:c>
      <x:c r="C34" s="14" t="str">
        <x:v>Expanded beyond obvious core hardware nodes while keeping conservative confidence labels</x:v>
      </x:c>
    </x:row>
    <x:row r="35">
      <x:c r="A35" s="14" t="str">
        <x:v>Next pass</x:v>
      </x:c>
      <x:c r="B35" s="14" t="str">
        <x:v>Citation extraction and de-duplication</x:v>
      </x:c>
      <x:c r="C35" s="14" t="str">
        <x:v>Mine HIT-026 to HIT-032; decide whether adjacent layers such as Rydberg molecules/metrology/tooling stay in map</x:v>
      </x:c>
    </x:row>
    <x:row r="39">
      <x:c r="A39" s="61" t="str">
        <x:v>Metric</x:v>
      </x:c>
      <x:c r="B39" s="61" t="str">
        <x:v>Value</x:v>
      </x:c>
      <x:c r="C39" s="61" t="str">
        <x:v>Notes</x:v>
      </x:c>
    </x:row>
    <x:row r="40">
      <x:c r="A40" s="14" t="str">
        <x:v>Version</x:v>
      </x:c>
      <x:c r="B40" s="14" t="str">
        <x:v>v0.6</x:v>
      </x:c>
      <x:c r="C40" s="14" t="str">
        <x:v>Adds arXiv 2024-2026 PI/affiliation mining structure; no full run executed yet.</x:v>
      </x:c>
    </x:row>
    <x:row r="41">
      <x:c r="A41" s="14" t="str">
        <x:v>New sheets</x:v>
      </x:c>
      <x:c r="B41" s="14" t="str">
        <x:v>Arxiv_PI_Map_2024_2026; Arxiv_PI_Aggregate; Arxiv_Run_Protocol</x:v>
      </x:c>
      <x:c r="C41" s="14" t="str">
        <x:v>Prepared for paper-level and PI-level extraction.</x:v>
      </x:c>
    </x:row>
    <x:row r="42">
      <x:c r="A42" s="14" t="str">
        <x:v>Scope</x:v>
      </x:c>
      <x:c r="B42" s="14" t="str">
        <x:v>Papers from 2024, 2025, 2026 only</x:v>
      </x:c>
      <x:c r="C42" s="14" t="str">
        <x:v>Use submitted/published year; updated date secondary.</x:v>
      </x:c>
    </x:row>
    <x:row r="43">
      <x:c r="A43" s="14" t="str">
        <x:v>Key assumption</x:v>
      </x:c>
      <x:c r="B43" s="14" t="str">
        <x:v>Last author ~= PI</x:v>
      </x:c>
      <x:c r="C43" s="14" t="str">
        <x:v>Useful heuristic, not absolute. Keep explicit confidence column.</x:v>
      </x:c>
    </x:row>
    <x:row r="44">
      <x:c r="A44" s="14" t="str">
        <x:v>Affiliation rule</x:v>
      </x:c>
      <x:c r="B44" s="14" t="str">
        <x:v>No affiliation without row-level source</x:v>
      </x:c>
      <x:c r="C44" s="14" t="str">
        <x:v>Use arXiv XML if present, otherwise PDF/OpenAlex/Semantic Scholar/official page.</x:v>
      </x:c>
    </x:row>
    <x:row r="45">
      <x:c r="A45" s="14" t="str">
        <x:v>Next pass</x:v>
      </x:c>
      <x:c r="B45" s="14" t="str">
        <x:v>Run small arXiv sample by query/year</x:v>
      </x:c>
      <x:c r="C45" s="14" t="str">
        <x:v>Start with Q-014 and Q-016, then expand.</x:v>
      </x:c>
    </x:row>
    <x:row r="47">
      <x:c r="A47" t="str">
        <x:v>Metric</x:v>
      </x:c>
      <x:c r="B47" t="str">
        <x:v>Value</x:v>
      </x:c>
      <x:c r="C47" t="str">
        <x:v>Notes</x:v>
      </x:c>
      <x:c r="D47"/>
      <x:c r="E47"/>
      <x:c r="F47"/>
    </x:row>
    <x:row r="48">
      <x:c r="A48" t="str">
        <x:v>Version</x:v>
      </x:c>
      <x:c r="B48" t="str">
        <x:v>v0.8</x:v>
      </x:c>
      <x:c r="C48" t="str">
        <x:v>Manual systematic arXiv expansion pass over 2024-2026 papers.</x:v>
      </x:c>
      <x:c r="D48"/>
      <x:c r="E48"/>
      <x:c r="F48"/>
    </x:row>
    <x:row r="49">
      <x:c r="A49" t="str">
        <x:v>New Arxiv_PI_Map rows</x:v>
      </x:c>
      <x:c r="B49" t="n">
        <x:v>28</x:v>
      </x:c>
      <x:c r="C49" t="str">
        <x:v>Rows ARXIV-PI-0023 to ARXIV-PI-0050.</x:v>
      </x:c>
      <x:c r="D49"/>
      <x:c r="E49"/>
      <x:c r="F49"/>
    </x:row>
    <x:row r="50">
      <x:c r="A50" t="str">
        <x:v>Arxiv_PI_Map factual rows total</x:v>
      </x:c>
      <x:c r="B50" t="n">
        <x:v>48</x:v>
      </x:c>
      <x:c r="C50" t="str">
        <x:v>Excluding the 2 template rows.</x:v>
      </x:c>
      <x:c r="D50"/>
      <x:c r="E50"/>
      <x:c r="F50"/>
    </x:row>
    <x:row r="51">
      <x:c r="A51" t="str">
        <x:v>New aggregate rows</x:v>
      </x:c>
      <x:c r="B51" t="n">
        <x:v>14</x:v>
      </x:c>
      <x:c r="C51" t="str">
        <x:v>Added more theory/software/interface/Asia candidates.</x:v>
      </x:c>
      <x:c r="D51"/>
      <x:c r="E51"/>
      <x:c r="F51"/>
    </x:row>
    <x:row r="52">
      <x:c r="A52" t="str">
        <x:v>New query rows</x:v>
      </x:c>
      <x:c r="B52" t="n">
        <x:v>5</x:v>
      </x:c>
      <x:c r="C52" t="str">
        <x:v>Q-018 to Q-022.</x:v>
      </x:c>
      <x:c r="D52"/>
      <x:c r="E52"/>
      <x:c r="F52"/>
    </x:row>
    <x:row r="53">
      <x:c r="A53" t="str">
        <x:v>Main next step</x:v>
      </x:c>
      <x:c r="B53" t="str">
        <x:v>Affiliation normalization</x:v>
      </x:c>
      <x:c r="C53" t="str">
        <x:v>Use PDF/OpenAlex/Semantic Scholar/ROR; then promote high-confidence PI nodes to Database.</x:v>
      </x:c>
      <x:c r="D53"/>
      <x:c r="E53"/>
      <x:c r="F53"/>
    </x:row>
    <x:row r="58">
      <x:c r="A58" s="14" t="str">
        <x:v>Metric</x:v>
      </x:c>
      <x:c r="B58" s="14" t="str">
        <x:v>Value</x:v>
      </x:c>
      <x:c r="C58" s="14" t="str">
        <x:v>Notes</x:v>
      </x:c>
      <x:c r="D58" s="14"/>
      <x:c r="E58" s="14"/>
      <x:c r="F58" s="14"/>
    </x:row>
    <x:row r="59">
      <x:c r="A59" s="14" t="str">
        <x:v>Version</x:v>
      </x:c>
      <x:c r="B59" s="14" t="str">
        <x:v>v1.1</x:v>
      </x:c>
      <x:c r="C59" s="14" t="str">
        <x:v>Paper-layer expansion only; Database remains at 59 entries.</x:v>
      </x:c>
      <x:c r="D59" s="14"/>
      <x:c r="E59" s="14"/>
      <x:c r="F59" s="14"/>
    </x:row>
    <x:row r="60">
      <x:c r="A60" s="14" t="str">
        <x:v>New Arxiv_PI_Map rows</x:v>
      </x:c>
      <x:c r="B60" s="14" t="n">
        <x:v>17</x:v>
      </x:c>
      <x:c r="C60" s="14" t="str">
        <x:v>Rows ARXIV-PI-0051 to ARXIV-PI-0067.</x:v>
      </x:c>
      <x:c r="D60" s="14"/>
      <x:c r="E60" s="14"/>
      <x:c r="F60" s="14"/>
    </x:row>
    <x:row r="61">
      <x:c r="A61" s="14" t="str">
        <x:v>Arxiv_PI_Map factual rows total</x:v>
      </x:c>
      <x:c r="B61" s="14" t="n">
        <x:v>65</x:v>
      </x:c>
      <x:c r="C61" s="14" t="str">
        <x:v>Excluding 2 template rows.</x:v>
      </x:c>
      <x:c r="D61" s="14"/>
      <x:c r="E61" s="14"/>
      <x:c r="F61" s="14"/>
    </x:row>
    <x:row r="62">
      <x:c r="A62" s="14" t="str">
        <x:v>New aggregate rows</x:v>
      </x:c>
      <x:c r="B62" s="14" t="n">
        <x:v>15</x:v>
      </x:c>
      <x:c r="C62" s="14" t="str">
        <x:v>New PI rows PI-0033 to PI-0047.</x:v>
      </x:c>
      <x:c r="D62" s="14"/>
      <x:c r="E62" s="14"/>
      <x:c r="F62" s="14"/>
    </x:row>
    <x:row r="63">
      <x:c r="A63" s="14" t="str">
        <x:v>New query rows</x:v>
      </x:c>
      <x:c r="B63" s="14" t="n">
        <x:v>6</x:v>
      </x:c>
      <x:c r="C63" s="14" t="str">
        <x:v>Q-023 to Q-028.</x:v>
      </x:c>
      <x:c r="D63" s="14"/>
      <x:c r="E63" s="14"/>
      <x:c r="F63" s="14"/>
    </x:row>
    <x:row r="64">
      <x:c r="A64" s="14" t="str">
        <x:v>Main next step</x:v>
      </x:c>
      <x:c r="B64" s="14" t="str">
        <x:v>Affiliation cleanup + promotion decision</x:v>
      </x:c>
      <x:c r="C64" s="14" t="str">
        <x:v>Resolve Institution pending rows and decide A/B/C/Exclude.</x:v>
      </x:c>
      <x:c r="D64" s="14"/>
      <x:c r="E64" s="14"/>
      <x:c r="F64" s="14"/>
    </x:row>
    <x:row r="65">
      <x:c r="A65" t="str">
        <x:v>v2.0</x:v>
      </x:c>
      <x:c r="B65" t="str">
        <x:v>Review mining cleanup</x:v>
      </x:c>
      <x:c r="C65" t="str">
        <x:v>Database entries</x:v>
      </x:c>
      <x:c r="D65" t="n">
        <x:v>82</x:v>
      </x:c>
      <x:c r="E65" t="str">
        <x:v>Promoted 5 nodes from REV-009 review references; merged duplicates.</x:v>
      </x:c>
      <x:c r="F65" t="str">
        <x:v>2026-06-18</x:v>
      </x:c>
    </x:row>
    <x:row r="66">
      <x:c r="A66" t="str">
        <x:v>v2.0</x:v>
      </x:c>
      <x:c r="B66" t="str">
        <x:v>Review mining cleanup</x:v>
      </x:c>
      <x:c r="C66" t="str">
        <x:v>Map-ready entries</x:v>
      </x:c>
      <x:c r="D66" t="n">
        <x:v>82</x:v>
      </x:c>
      <x:c r="E66" t="str">
        <x:v>Regenerated Map_Export/CSV/GeoJSON.</x:v>
      </x:c>
      <x:c r="F66" t="str">
        <x:v>2026-06-18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</x:cols>
  <x:sheetData>
    <x:row r="1" ht="30" customHeight="1">
      <x:c r="A1" s="44" t="str">
        <x:v>hit_id</x:v>
      </x:c>
      <x:c r="B1" s="44" t="str">
        <x:v>title</x:v>
      </x:c>
      <x:c r="C1" s="44" t="str">
        <x:v>year</x:v>
      </x:c>
      <x:c r="D1" s="44" t="str">
        <x:v>bucket</x:v>
      </x:c>
      <x:c r="E1" s="44" t="str">
        <x:v>authors_or_entities</x:v>
      </x:c>
      <x:c r="F1" s="44" t="str">
        <x:v>source_url</x:v>
      </x:c>
      <x:c r="G1" s="44" t="str">
        <x:v>why_useful</x:v>
      </x:c>
      <x:c r="H1" s="44" t="str">
        <x:v>entities_to_extract</x:v>
      </x:c>
      <x:c r="I1" s="44" t="str">
        <x:v>decision</x:v>
      </x:c>
    </x:row>
    <x:row r="2">
      <x:c r="A2" s="41" t="str">
        <x:v>HIT-001</x:v>
      </x:c>
      <x:c r="B2" s="41" t="str">
        <x:v>Many-Body Physics with Individually-Controlled Rydberg Atoms</x:v>
      </x:c>
      <x:c r="C2" s="41" t="n">
        <x:v>2020</x:v>
      </x:c>
      <x:c r="D2" s="41" t="str">
        <x:v>review</x:v>
      </x:c>
      <x:c r="E2" s="41" t="str">
        <x:v>Browaeys; Lahaye</x:v>
      </x:c>
      <x:c r="F2" s="41" t="str">
        <x:v>https://arxiv.org/abs/2002.07413</x:v>
      </x:c>
      <x:c r="G2" s="41" t="str">
        <x:v>Core review for experimental Rydberg arrays and optical tweezer methods.</x:v>
      </x:c>
      <x:c r="H2" s="41" t="str">
        <x:v>Institut d'Optique; Harvard; early Rydberg array groups</x:v>
      </x:c>
      <x:c r="I2" s="41" t="str">
        <x:v>processed_seed</x:v>
      </x:c>
    </x:row>
    <x:row r="3">
      <x:c r="A3" s="41" t="str">
        <x:v>HIT-002</x:v>
      </x:c>
      <x:c r="B3" s="41" t="str">
        <x:v>Quantum computing with neutral atoms</x:v>
      </x:c>
      <x:c r="C3" s="41" t="n">
        <x:v>2020</x:v>
      </x:c>
      <x:c r="D3" s="41" t="str">
        <x:v>review</x:v>
      </x:c>
      <x:c r="E3" s="41" t="str">
        <x:v>Henriet et al.</x:v>
      </x:c>
      <x:c r="F3" s="41" t="str">
        <x:v>https://quantum-journal.org/papers/q-2020-09-21-327/</x:v>
      </x:c>
      <x:c r="G3" s="41" t="str">
        <x:v>Good neutral-atom computing taxonomy and company/platform bridge.</x:v>
      </x:c>
      <x:c r="H3" s="41" t="str">
        <x:v>PASQAL; QuEra; algorithms; hardware modes</x:v>
      </x:c>
      <x:c r="I3" s="41" t="str">
        <x:v>processed_seed</x:v>
      </x:c>
    </x:row>
    <x:row r="4">
      <x:c r="A4" s="41" t="str">
        <x:v>HIT-003</x:v>
      </x:c>
      <x:c r="B4" s="41" t="str">
        <x:v>Neutral Atom Quantum Computing Hardware</x:v>
      </x:c>
      <x:c r="C4" s="41" t="n">
        <x:v>2023</x:v>
      </x:c>
      <x:c r="D4" s="41" t="str">
        <x:v>hardware review</x:v>
      </x:c>
      <x:c r="E4" s="41" t="str">
        <x:v>Wintersperger et al.</x:v>
      </x:c>
      <x:c r="F4" s="41" t="str">
        <x:v>https://arxiv.org/abs/2304.14360</x:v>
      </x:c>
      <x:c r="G4" s="41" t="str">
        <x:v>Hardware/end-user review mentioning PASQAL and QuEra systems based on optical tweezers and Rydberg interactions.</x:v>
      </x:c>
      <x:c r="H4" s="41" t="str">
        <x:v>Companies; cloud platforms; architecture rows</x:v>
      </x:c>
      <x:c r="I4" s="41" t="str">
        <x:v>queued</x:v>
      </x:c>
    </x:row>
    <x:row r="5">
      <x:c r="A5" s="41" t="str">
        <x:v>HIT-004</x:v>
      </x:c>
      <x:c r="B5" s="41" t="str">
        <x:v>Logical quantum processor based on reconfigurable atom arrays</x:v>
      </x:c>
      <x:c r="C5" s="41" t="n">
        <x:v>2024</x:v>
      </x:c>
      <x:c r="D5" s="41" t="str">
        <x:v>QEC/architecture experiment</x:v>
      </x:c>
      <x:c r="E5" s="41" t="str">
        <x:v>Bluvstein et al.</x:v>
      </x:c>
      <x:c r="F5" s="41" t="str">
        <x:v>https://www.nature.com/articles/s41586-023-06927-3</x:v>
      </x:c>
      <x:c r="G5" s="41" t="str">
        <x:v>Highly cited logical processor work; implemented with 87Rb atoms in optical tweezers.</x:v>
      </x:c>
      <x:c r="H5" s="41" t="str">
        <x:v>Harvard-Lukin; MIT/Vuletic; QuEra; QEC theory</x:v>
      </x:c>
      <x:c r="I5" s="41" t="str">
        <x:v>queued</x:v>
      </x:c>
    </x:row>
    <x:row r="6">
      <x:c r="A6" s="41" t="str">
        <x:v>HIT-005</x:v>
      </x:c>
      <x:c r="B6" s="41" t="str">
        <x:v>A fault-tolerant neutral-atom architecture for universal quantum computation</x:v>
      </x:c>
      <x:c r="C6" s="41" t="n">
        <x:v>2025</x:v>
      </x:c>
      <x:c r="D6" s="41" t="str">
        <x:v>QEC/architecture</x:v>
      </x:c>
      <x:c r="E6" s="41" t="str">
        <x:v>Bluvstein et al.</x:v>
      </x:c>
      <x:c r="F6" s="41" t="str">
        <x:v>https://www.nature.com/articles/s41586-025-09848-5</x:v>
      </x:c>
      <x:c r="G6" s="41" t="str">
        <x:v>Recent architecture paper with rich citations for QEC and neutral-atom error models.</x:v>
      </x:c>
      <x:c r="H6" s="41" t="str">
        <x:v>Lukin; Pichler; QEC theorists; companies</x:v>
      </x:c>
      <x:c r="I6" s="41" t="str">
        <x:v>queued</x:v>
      </x:c>
    </x:row>
    <x:row r="7">
      <x:c r="A7" s="41" t="str">
        <x:v>HIT-006</x:v>
      </x:c>
      <x:c r="B7" s="41" t="str">
        <x:v>High-fidelity parallel entangling gates on a neutral-atom quantum computer</x:v>
      </x:c>
      <x:c r="C7" s="41" t="n">
        <x:v>2023</x:v>
      </x:c>
      <x:c r="D7" s="41" t="str">
        <x:v>gates experiment</x:v>
      </x:c>
      <x:c r="E7" s="41" t="str">
        <x:v>Evered et al.</x:v>
      </x:c>
      <x:c r="F7" s="41" t="str">
        <x:v>https://eapg.mit.edu/wp-content/uploads/2023/12/High_Fidelity_Gates_Nature_s41586-023-06481-y-1.pdf</x:v>
      </x:c>
      <x:c r="G7" s="41" t="str">
        <x:v>Gate benchmark paper linking Harvard/MIT/QuEra ecosystem.</x:v>
      </x:c>
      <x:c r="H7" s="41" t="str">
        <x:v>Harvard; MIT; QuEra; gate metrics</x:v>
      </x:c>
      <x:c r="I7" s="41" t="str">
        <x:v>queued</x:v>
      </x:c>
    </x:row>
    <x:row r="8">
      <x:c r="A8" s="41" t="str">
        <x:v>HIT-007</x:v>
      </x:c>
      <x:c r="B8" s="41" t="str">
        <x:v>Trapped arrays of alkaline earth Rydberg atoms in optical tweezers</x:v>
      </x:c>
      <x:c r="C8" s="41" t="n">
        <x:v>2019</x:v>
      </x:c>
      <x:c r="D8" s="41" t="str">
        <x:v>AELA experiment</x:v>
      </x:c>
      <x:c r="E8" s="41" t="str">
        <x:v>Wilson; Saskin; Thompson et al.</x:v>
      </x:c>
      <x:c r="F8" s="41" t="str">
        <x:v>https://arxiv.org/abs/1912.08754</x:v>
      </x:c>
      <x:c r="G8" s="41" t="str">
        <x:v>Foundational Yb alkaline-earth Rydberg tweezer result.</x:v>
      </x:c>
      <x:c r="H8" s="41" t="str">
        <x:v>Princeton/Thompson; AELA nodes</x:v>
      </x:c>
      <x:c r="I8" s="41" t="str">
        <x:v>processed_seed</x:v>
      </x:c>
    </x:row>
    <x:row r="9">
      <x:c r="A9" s="41" t="str">
        <x:v>HIT-008</x:v>
      </x:c>
      <x:c r="B9" s="41" t="str">
        <x:v>Ryd-Yb tweezer array</x:v>
      </x:c>
      <x:c r="C9" s="41" t="n">
        <x:v>2026</x:v>
      </x:c>
      <x:c r="D9" s="41" t="str">
        <x:v>official platform page</x:v>
      </x:c>
      <x:c r="E9" s="41" t="str">
        <x:v>MPQ</x:v>
      </x:c>
      <x:c r="F9" s="41" t="str">
        <x:v>https://www.mpq.mpg.de/6859879/ryd-yb-tweezer-array</x:v>
      </x:c>
      <x:c r="G9" s="41" t="str">
        <x:v>Official MPQ page confirms 171Yb atoms in optical tweezers and Rydberg interactions.</x:v>
      </x:c>
      <x:c r="H9" s="41" t="str">
        <x:v>MPQ; Zeiher; Munich Quantum Valley</x:v>
      </x:c>
      <x:c r="I9" s="41" t="str">
        <x:v>processed_seed</x:v>
      </x:c>
    </x:row>
    <x:row r="10">
      <x:c r="A10" s="41" t="str">
        <x:v>HIT-009</x:v>
      </x:c>
      <x:c r="B10" s="41" t="str">
        <x:v>Array of Individual Circular Rydberg Atoms Trapped in Optical Tweezers</x:v>
      </x:c>
      <x:c r="C10" s="41" t="n">
        <x:v>2023</x:v>
      </x:c>
      <x:c r="D10" s="41" t="str">
        <x:v>circular Rydberg experiment</x:v>
      </x:c>
      <x:c r="E10" s="41" t="str">
        <x:v>Ravon; Méhaignerie; Raimond; Brune; Sayrin</x:v>
      </x:c>
      <x:c r="F10" s="41" t="str">
        <x:v>https://arxiv.org/abs/2304.04831</x:v>
      </x:c>
      <x:c r="G10" s="41" t="str">
        <x:v>Special subfield: circular Rydberg atoms in optical/bottle tweezers.</x:v>
      </x:c>
      <x:c r="H10" s="41" t="str">
        <x:v>LKB; circular Rydberg taxonomy</x:v>
      </x:c>
      <x:c r="I10" s="41" t="str">
        <x:v>processed_seed</x:v>
      </x:c>
    </x:row>
    <x:row r="11">
      <x:c r="A11" s="41" t="str">
        <x:v>HIT-010</x:v>
      </x:c>
      <x:c r="B11" s="41" t="str">
        <x:v>Phase-Stable Hologram Updates for Large-Scale Neutral-Atom Array Reconfiguration</x:v>
      </x:c>
      <x:c r="C11" s="41" t="n">
        <x:v>2026</x:v>
      </x:c>
      <x:c r="D11" s="41" t="str">
        <x:v>control/software</x:v>
      </x:c>
      <x:c r="E11" s="41" t="str">
        <x:v>Huang et al.</x:v>
      </x:c>
      <x:c r="F11" s="41" t="str">
        <x:v>https://arxiv.org/abs/2604.04600</x:v>
      </x:c>
      <x:c r="G11" s="41" t="str">
        <x:v>Good candidate for software/control-theory rows around scalable dynamic tweezer arrays.</x:v>
      </x:c>
      <x:c r="H11" s="41" t="str">
        <x:v>Affiliations; hologram/control algorithm groups</x:v>
      </x:c>
      <x:c r="I11" s="41" t="str">
        <x:v>staged</x:v>
      </x:c>
    </x:row>
    <x:row r="12">
      <x:c r="A12" s="41" t="str">
        <x:v>HIT-011</x:v>
      </x:c>
      <x:c r="B12" s="41" t="str">
        <x:v>Velocity-Enabled Quantum Computing with Neutral Atoms</x:v>
      </x:c>
      <x:c r="C12" s="41" t="n">
        <x:v>2026</x:v>
      </x:c>
      <x:c r="D12" s="41" t="str">
        <x:v>QEC/architecture</x:v>
      </x:c>
      <x:c r="E12" s="41" t="str">
        <x:v>Unknown from search snippet</x:v>
      </x:c>
      <x:c r="F12" s="41" t="str">
        <x:v>https://arxiv.org/html/2603.15561v1</x:v>
      </x:c>
      <x:c r="G12" s="41" t="str">
        <x:v>Recent architecture idea for moving atoms and mid-circuit operations.</x:v>
      </x:c>
      <x:c r="H12" s="41" t="str">
        <x:v>Authors; affiliations; QEC architecture groups</x:v>
      </x:c>
      <x:c r="I12" s="41" t="str">
        <x:v>queued</x:v>
      </x:c>
    </x:row>
    <x:row r="13">
      <x:c r="A13" s="41" t="str">
        <x:v>HIT-012</x:v>
      </x:c>
      <x:c r="B13" s="41" t="str">
        <x:v>Low-depth quantum error correction via three-qubit gates in Rydberg atom arrays</x:v>
      </x:c>
      <x:c r="C13" s="41" t="n">
        <x:v>2025</x:v>
      </x:c>
      <x:c r="D13" s="41" t="str">
        <x:v>QEC theory</x:v>
      </x:c>
      <x:c r="E13" s="41" t="str">
        <x:v>Pecorari; Jandura; Pupillo</x:v>
      </x:c>
      <x:c r="F13" s="41" t="str">
        <x:v>https://arxiv.org/html/2604.21876v1</x:v>
      </x:c>
      <x:c r="G13" s="41" t="str">
        <x:v>Important QEC-theory link to Pupillo/Strasbourg/QPerfect ecosystem.</x:v>
      </x:c>
      <x:c r="H13" s="41" t="str">
        <x:v>Pupillo; QPerfect; QEC theory rows</x:v>
      </x:c>
      <x:c r="I13" s="41" t="str">
        <x:v>queued</x:v>
      </x:c>
    </x:row>
    <x:row r="14">
      <x:c r="A14" s="41" t="str">
        <x:v>HIT-013</x:v>
      </x:c>
      <x:c r="B14" s="41" t="str">
        <x:v>Molecular Dynamics in Rydberg Tweezer Arrays</x:v>
      </x:c>
      <x:c r="C14" s="41" t="n">
        <x:v>2023</x:v>
      </x:c>
      <x:c r="D14" s="41" t="str">
        <x:v>theory</x:v>
      </x:c>
      <x:c r="E14" s="41" t="str">
        <x:v>Magoni; Joshi; Pupillo?</x:v>
      </x:c>
      <x:c r="F14" s="41" t="str">
        <x:v>https://arxiv.org/abs/2303.08861</x:v>
      </x:c>
      <x:c r="G14" s="41" t="str">
        <x:v>Theory of spin-phonon/geometry effects in Rydberg tweezer arrays.</x:v>
      </x:c>
      <x:c r="H14" s="41" t="str">
        <x:v>Authors/institutions; spin-motion theory nodes</x:v>
      </x:c>
      <x:c r="I14" s="41" t="str">
        <x:v>queued</x:v>
      </x:c>
    </x:row>
    <x:row r="15">
      <x:c r="A15" s="41" t="str">
        <x:v>HIT-014</x:v>
      </x:c>
      <x:c r="B15" s="41" t="str">
        <x:v>Emerging 2D Gauge theories in Rydberg configurable arrays</x:v>
      </x:c>
      <x:c r="C15" s="41" t="n">
        <x:v>2019</x:v>
      </x:c>
      <x:c r="D15" s="41" t="str">
        <x:v>theory</x:v>
      </x:c>
      <x:c r="E15" s="41" t="str">
        <x:v>Celi; Vermersch; Pichler; Lukin; Zoller</x:v>
      </x:c>
      <x:c r="F15" s="41" t="str">
        <x:v>https://arxiv.org/abs/1907.03311</x:v>
      </x:c>
      <x:c r="G15" s="41" t="str">
        <x:v>Theory seed for gauge-simulation rows and Pichler/Zoller/Vermersch ecosystem.</x:v>
      </x:c>
      <x:c r="H15" s="41" t="str">
        <x:v>Pichler; Zoller; Vermersch; gauge theory nodes</x:v>
      </x:c>
      <x:c r="I15" s="41" t="str">
        <x:v>queued</x:v>
      </x:c>
    </x:row>
    <x:row r="16">
      <x:c r="A16" s="41" t="str">
        <x:v>HIT-015</x:v>
      </x:c>
      <x:c r="B16" s="41" t="str">
        <x:v>High-resolution spectroscopy and single-photon Rydberg excitation of reconfigurable Yb atom tweezer arrays</x:v>
      </x:c>
      <x:c r="C16" s="41" t="n">
        <x:v>2022</x:v>
      </x:c>
      <x:c r="D16" s="41" t="str">
        <x:v>AELA experiment</x:v>
      </x:c>
      <x:c r="E16" s="41" t="str">
        <x:v>Okuno; Nakamura; Takasu; Takahashi</x:v>
      </x:c>
      <x:c r="F16" s="41" t="str">
        <x:v>https://arxiv.org/abs/2204.07995</x:v>
      </x:c>
      <x:c r="G16" s="41" t="str">
        <x:v>Expands Asia/Yb AELA coverage.</x:v>
      </x:c>
      <x:c r="H16" s="41" t="str">
        <x:v>Kyoto/Takahashi; Yb Rydberg spectroscopy</x:v>
      </x:c>
      <x:c r="I16" s="41" t="str">
        <x:v>processed_seed</x:v>
      </x:c>
    </x:row>
    <x:row r="17">
      <x:c r="A17" s="41" t="str">
        <x:v>HIT-017</x:v>
      </x:c>
      <x:c r="B17" s="41" t="str">
        <x:v>Fast single-atom preparation in optical tweezers via Rydberg blockade</x:v>
      </x:c>
      <x:c r="C17" s="41" t="n">
        <x:v>2026</x:v>
      </x:c>
      <x:c r="D17" s="41" t="str">
        <x:v>arXiv/recent experiment</x:v>
      </x:c>
      <x:c r="E17" s="41" t="str">
        <x:v>Yiyi Li; Vernon Hughes; Jeff Thompson et al.</x:v>
      </x:c>
      <x:c r="F17" s="41" t="str">
        <x:v>https://arxiv.org/abs/2606.03922</x:v>
      </x:c>
      <x:c r="G17" s="41" t="str">
        <x:v>Very recent Thompson/Yb loading result; useful for identifying active Yb Rydberg-tweezer directions.</x:v>
      </x:c>
      <x:c r="H17" s="41" t="str">
        <x:v>Princeton/Thompson; Yb; loading; Rydberg blockade</x:v>
      </x:c>
      <x:c r="I17" s="41" t="str">
        <x:v>queued</x:v>
      </x:c>
    </x:row>
    <x:row r="18">
      <x:c r="A18" s="41" t="str">
        <x:v>HIT-018</x:v>
      </x:c>
      <x:c r="B18" s="41" t="str">
        <x:v>Gate-based Readout and Cooling of Neutral Atoms</x:v>
      </x:c>
      <x:c r="C18" s="41" t="n">
        <x:v>2026</x:v>
      </x:c>
      <x:c r="D18" s="41" t="str">
        <x:v>arXiv/recent methods</x:v>
      </x:c>
      <x:c r="E18" s="41" t="str">
        <x:v>Endres Lab / collaborators</x:v>
      </x:c>
      <x:c r="F18" s="41" t="str">
        <x:v>https://arxiv.org/html/2603.21643v1</x:v>
      </x:c>
      <x:c r="G18" s="41" t="str">
        <x:v>Uses high-fidelity Rydberg entangling gates and ancilla atoms for optical tweezer experiments; active Caltech direction.</x:v>
      </x:c>
      <x:c r="H18" s="41" t="str">
        <x:v>Caltech/Endres; QEC; ancilla; readout/cooling</x:v>
      </x:c>
      <x:c r="I18" s="41" t="str">
        <x:v>queued</x:v>
      </x:c>
    </x:row>
    <x:row r="19">
      <x:c r="A19" s="41" t="str">
        <x:v>HIT-019</x:v>
      </x:c>
      <x:c r="B19" s="41" t="str">
        <x:v>Loss-biased fault-tolerant quantum error correction</x:v>
      </x:c>
      <x:c r="C19" s="41" t="n">
        <x:v>2026</x:v>
      </x:c>
      <x:c r="D19" s="41" t="str">
        <x:v>arXiv/QEC theory</x:v>
      </x:c>
      <x:c r="E19" s="41" t="str">
        <x:v>Neutral-atom QEC theory authors</x:v>
      </x:c>
      <x:c r="F19" s="41" t="str">
        <x:v>https://arxiv.org/html/2604.21876v1</x:v>
      </x:c>
      <x:c r="G19" s="41" t="str">
        <x:v>Explicitly discusses platform-specific Rydberg hopping, residual Rydberg population and non-Markovian correlated errors.</x:v>
      </x:c>
      <x:c r="H19" s="41" t="str">
        <x:v>Pupillo/QPerfect? theory nodes; QEC; error models</x:v>
      </x:c>
      <x:c r="I19" s="41" t="str">
        <x:v>queued</x:v>
      </x:c>
    </x:row>
    <x:row r="20">
      <x:c r="A20" s="41" t="str">
        <x:v>HIT-020</x:v>
      </x:c>
      <x:c r="B20" s="41" t="str">
        <x:v>Correlated Atom Loss as a Resource for Quantum Error Correction</x:v>
      </x:c>
      <x:c r="C20" s="41" t="n">
        <x:v>2026</x:v>
      </x:c>
      <x:c r="D20" s="41" t="str">
        <x:v>arXiv/QEC theory</x:v>
      </x:c>
      <x:c r="E20" s="41" t="str">
        <x:v>Neutral-atom QEC theory authors</x:v>
      </x:c>
      <x:c r="F20" s="41" t="str">
        <x:v>https://arxiv.org/html/2603.24237v1</x:v>
      </x:c>
      <x:c r="G20" s="41" t="str">
        <x:v>Useful for theory/mixed database side: correlated loss events from Rydberg-mediated gates.</x:v>
      </x:c>
      <x:c r="H20" s="41" t="str">
        <x:v>QEC theory groups; decoders; loss/leakage</x:v>
      </x:c>
      <x:c r="I20" s="41" t="str">
        <x:v>queued</x:v>
      </x:c>
    </x:row>
    <x:row r="21">
      <x:c r="A21" s="41" t="str">
        <x:v>HIT-021</x:v>
      </x:c>
      <x:c r="B21" s="41" t="str">
        <x:v>Rydberg atom arrays as quantum simulators for molecular dynamics</x:v>
      </x:c>
      <x:c r="C21" s="41" t="n">
        <x:v>2025</x:v>
      </x:c>
      <x:c r="D21" s="41" t="str">
        <x:v>arXiv/theory</x:v>
      </x:c>
      <x:c r="E21" s="41" t="str">
        <x:v>Simon Euchner; Igor Lesanovsky</x:v>
      </x:c>
      <x:c r="F21" s="41" t="str">
        <x:v>https://arxiv.org/abs/2506.09865</x:v>
      </x:c>
      <x:c r="G21" s="41" t="str">
        <x:v>Explicitly frames Rydberg atoms in optical tweezer arrays as simulators for molecular/vibronic dynamics.</x:v>
      </x:c>
      <x:c r="H21" s="41" t="str">
        <x:v>Lesanovsky/Tübingen; theory; molecular dynamics</x:v>
      </x:c>
      <x:c r="I21" s="41" t="str">
        <x:v>queued</x:v>
      </x:c>
    </x:row>
    <x:row r="22">
      <x:c r="A22" s="41" t="str">
        <x:v>HIT-022</x:v>
      </x:c>
      <x:c r="B22" s="41" t="str">
        <x:v>Regal Group Research: Cryogenic Rydberg atom arrays</x:v>
      </x:c>
      <x:c r="C22" s="41" t="n">
        <x:v>2026</x:v>
      </x:c>
      <x:c r="D22" s="41" t="str">
        <x:v>official group page</x:v>
      </x:c>
      <x:c r="E22" s="41" t="str">
        <x:v>Regal Group / JILA</x:v>
      </x:c>
      <x:c r="F22" s="41" t="str">
        <x:v>https://www.colorado.edu/jila/regal-group-research</x:v>
      </x:c>
      <x:c r="G22" s="41" t="str">
        <x:v>Official source for E-035; says large Rydberg atom systems in optical tweezers in cryogenic high-vacuum setup.</x:v>
      </x:c>
      <x:c r="H22" s="41" t="str">
        <x:v>Regal; Kaufman collaboration; cryogenic arrays</x:v>
      </x:c>
      <x:c r="I22" s="41" t="str">
        <x:v>processed_to_db</x:v>
      </x:c>
    </x:row>
    <x:row r="23">
      <x:c r="A23" s="41" t="str">
        <x:v>HIT-023</x:v>
      </x:c>
      <x:c r="B23" s="41" t="str">
        <x:v>Jacob Covey IQUIST profile + CAS project page</x:v>
      </x:c>
      <x:c r="C23" s="41" t="n">
        <x:v>2026</x:v>
      </x:c>
      <x:c r="D23" s="41" t="str">
        <x:v>official profile/project</x:v>
      </x:c>
      <x:c r="E23" s="41" t="str">
        <x:v>Jacob Covey / UIUC</x:v>
      </x:c>
      <x:c r="F23" s="41" t="str">
        <x:v>https://iquist.illinois.edu/people/jacob-covey</x:v>
      </x:c>
      <x:c r="G23" s="41" t="str">
        <x:v>Official source for E-036; Rydberg atom arrays and photonic interfaces.</x:v>
      </x:c>
      <x:c r="H23" s="41" t="str">
        <x:v>Covey Lab; UIUC; photonic interface</x:v>
      </x:c>
      <x:c r="I23" s="41" t="str">
        <x:v>processed_to_db</x:v>
      </x:c>
    </x:row>
    <x:row r="24">
      <x:c r="A24" s="41" t="str">
        <x:v>HIT-024</x:v>
      </x:c>
      <x:c r="B24" s="41" t="str">
        <x:v>AI-Enabled Parallel Assembly of Thousands of Defect-Free Atom Arrays</x:v>
      </x:c>
      <x:c r="C24" s="41" t="n">
        <x:v>2025</x:v>
      </x:c>
      <x:c r="D24" s="41" t="str">
        <x:v>large-array methods</x:v>
      </x:c>
      <x:c r="E24" s="41" t="str">
        <x:v>Lin et al.</x:v>
      </x:c>
      <x:c r="F24" s="41" t="str">
        <x:v>https://link.aps.org/doi/10.1103/2ym8-vs82</x:v>
      </x:c>
      <x:c r="G24" s="41" t="str">
        <x:v>Large-scale atom-array assembly; potentially maps to Hefei/Pan-like node and array-scaling methods.</x:v>
      </x:c>
      <x:c r="H24" s="41" t="str">
        <x:v>Hefei/Pan?; 2024-atom array; loading/rearrangement</x:v>
      </x:c>
      <x:c r="I24" s="41" t="str">
        <x:v>queued</x:v>
      </x:c>
    </x:row>
    <x:row r="25">
      <x:c r="A25" s="41" t="str">
        <x:v>HIT-025</x:v>
      </x:c>
      <x:c r="B25" s="41" t="str">
        <x:v>Individual assembly of two-species Rydberg molecules using optical tweezers</x:v>
      </x:c>
      <x:c r="C25" s="41" t="n">
        <x:v>2024</x:v>
      </x:c>
      <x:c r="D25" s="41" t="str">
        <x:v>adjacent Rydberg molecules</x:v>
      </x:c>
      <x:c r="E25" s="41" t="str">
        <x:v>Guttridge; Cornish et al.</x:v>
      </x:c>
      <x:c r="F25" s="41" t="str">
        <x:v>https://arxiv.org/abs/2412.14888</x:v>
      </x:c>
      <x:c r="G25" s="41" t="str">
        <x:v>Adjacent but relevant if future map includes Rydberg molecules in tweezers; should stay outside core QC/simulation arrays unless tagged.</x:v>
      </x:c>
      <x:c r="H25" s="41" t="str">
        <x:v>Durham/Cornish; molecules; RbCs; optical tweezers</x:v>
      </x:c>
      <x:c r="I25" s="41" t="str">
        <x:v>queued</x:v>
      </x:c>
    </x:row>
    <x:row r="26">
      <x:c r="A26" s="14" t="str">
        <x:v>HIT-026</x:v>
      </x:c>
      <x:c r="B26" s="14" t="str">
        <x:v>Research overview: Loh Lab neutral atoms in optical tweezers and Rydberg interactions</x:v>
      </x:c>
      <x:c r="C26" s="14" t="n">
        <x:v>2026</x:v>
      </x:c>
      <x:c r="D26" s="14" t="str">
        <x:v>official_group</x:v>
      </x:c>
      <x:c r="E26" s="14" t="str">
        <x:v>Huanqian Loh / Duke</x:v>
      </x:c>
      <x:c r="F26" s="14" t="str">
        <x:v>https://lohlab.pratt.duke.edu/research-overview</x:v>
      </x:c>
      <x:c r="G26" s="14" t="str">
        <x:v>Direct official source for new Duke node; says atoms in optical tweezers can be driven to Rydberg states for long-range interactions.</x:v>
      </x:c>
      <x:c r="H26" s="14" t="str">
        <x:v>Loh Lab; Duke Quantum Center</x:v>
      </x:c>
      <x:c r="I26" s="14" t="str">
        <x:v>processed_to_db</x:v>
      </x:c>
    </x:row>
    <x:row r="27">
      <x:c r="A27" s="14" t="str">
        <x:v>HIT-027</x:v>
      </x:c>
      <x:c r="B27" s="14" t="str">
        <x:v>AI-Enabled Rapid Assembly of Thousands of Defect-Free Neutral Atom Arrays</x:v>
      </x:c>
      <x:c r="C27" s="14" t="n">
        <x:v>2025</x:v>
      </x:c>
      <x:c r="D27" s="14" t="str">
        <x:v>paper</x:v>
      </x:c>
      <x:c r="E27" s="14" t="str">
        <x:v>Rui Lin; Han-Sen Zhong; Jian-Wei Pan; Chao-Yang Lu; Jun Rui et al.</x:v>
      </x:c>
      <x:c r="F27" s="14" t="str">
        <x:v>https://arxiv.org/abs/2412.14647</x:v>
      </x:c>
      <x:c r="G27" s="14" t="str">
        <x:v>Large neutral-atom optical-tweezer array scaling paper; useful to identify USTC/Hefei node and atom-sorting methods.</x:v>
      </x:c>
      <x:c r="H27" s="14" t="str">
        <x:v>USTC; Pan/Lu/Rui group; Hefei/Shanghai</x:v>
      </x:c>
      <x:c r="I27" s="14" t="str">
        <x:v>processed_to_db</x:v>
      </x:c>
    </x:row>
    <x:row r="28">
      <x:c r="A28" s="14" t="str">
        <x:v>HIT-028</x:v>
      </x:c>
      <x:c r="B28" s="14" t="str">
        <x:v>Individual assembly of two-species Rydberg molecules using optical tweezers</x:v>
      </x:c>
      <x:c r="C28" s="14" t="n">
        <x:v>2024</x:v>
      </x:c>
      <x:c r="D28" s="14" t="str">
        <x:v>paper</x:v>
      </x:c>
      <x:c r="E28" s="14" t="str">
        <x:v>Alexander Guttridge; Simon Cornish; collaborators</x:v>
      </x:c>
      <x:c r="F28" s="14" t="str">
        <x:v>https://arxiv.org/abs/2412.14888</x:v>
      </x:c>
      <x:c r="G28" s="14" t="str">
        <x:v>Adjacent Rydberg-tweezer platform outside standard QC array scope; useful for optional adjacent layer.</x:v>
      </x:c>
      <x:c r="H28" s="14" t="str">
        <x:v>Durham; Cornish/Guttridge</x:v>
      </x:c>
      <x:c r="I28" s="14" t="str">
        <x:v>processed_to_db</x:v>
      </x:c>
    </x:row>
    <x:row r="29">
      <x:c r="A29" s="14" t="str">
        <x:v>HIT-029</x:v>
      </x:c>
      <x:c r="B29" s="14" t="str">
        <x:v>Rice/Hazzard publications mentioning strongly interacting Rydberg atoms in optical tweezer arrays</x:v>
      </x:c>
      <x:c r="C29" s="14" t="n">
        <x:v>2026</x:v>
      </x:c>
      <x:c r="D29" s="14" t="str">
        <x:v>official_publications</x:v>
      </x:c>
      <x:c r="E29" s="14" t="str">
        <x:v>Kaden Hazzard group</x:v>
      </x:c>
      <x:c r="F29" s="14" t="str">
        <x:v>https://kaden.rice.edu/publications.html</x:v>
      </x:c>
      <x:c r="G29" s="14" t="str">
        <x:v>Theory discovery node for Rydberg-tweezer arrays, synthetic dimensions and collaborations.</x:v>
      </x:c>
      <x:c r="H29" s="14" t="str">
        <x:v>Rice; Hazzard; theory collaborators</x:v>
      </x:c>
      <x:c r="I29" s="14" t="str">
        <x:v>processed_to_db</x:v>
      </x:c>
    </x:row>
    <x:row r="30">
      <x:c r="A30" s="14" t="str">
        <x:v>HIT-030</x:v>
      </x:c>
      <x:c r="B30" s="14" t="str">
        <x:v>Spin Squeezing by Rydberg Dressing in an Array of Atomic Ensembles</x:v>
      </x:c>
      <x:c r="C30" s="14" t="n">
        <x:v>2023</x:v>
      </x:c>
      <x:c r="D30" s="14" t="str">
        <x:v>paper</x:v>
      </x:c>
      <x:c r="E30" s="14" t="str">
        <x:v>Jacob Hines; Monika Schleier-Smith et al.</x:v>
      </x:c>
      <x:c r="F30" s="14" t="str">
        <x:v>https://arxiv.org/abs/2303.08805</x:v>
      </x:c>
      <x:c r="G30" s="14" t="str">
        <x:v>Adjacent Rydberg-dressing/metrology result; helps decide whether ensemble-array nodes belong in scope.</x:v>
      </x:c>
      <x:c r="H30" s="14" t="str">
        <x:v>Stanford; Schleier-Smith</x:v>
      </x:c>
      <x:c r="I30" s="14" t="str">
        <x:v>processed_to_db</x:v>
      </x:c>
    </x:row>
    <x:row r="31">
      <x:c r="A31" s="14" t="str">
        <x:v>HIT-031</x:v>
      </x:c>
      <x:c r="B31" s="14" t="str">
        <x:v>Sandia Neutral Atoms/Rydberg Computing program page</x:v>
      </x:c>
      <x:c r="C31" s="14" t="n">
        <x:v>2026</x:v>
      </x:c>
      <x:c r="D31" s="14" t="str">
        <x:v>program_page</x:v>
      </x:c>
      <x:c r="E31" s="14" t="str">
        <x:v>Sandia National Laboratories</x:v>
      </x:c>
      <x:c r="F31" s="14" t="str">
        <x:v>https://www.sandia.gov/quantum/neutral-atoms-rydberg-computing/</x:v>
      </x:c>
      <x:c r="G31" s="14" t="str">
        <x:v>US national-lab ecosystem node; needs PI/species/trap extraction.</x:v>
      </x:c>
      <x:c r="H31" s="14" t="str">
        <x:v>Sandia</x:v>
      </x:c>
      <x:c r="I31" s="14" t="str">
        <x:v>processed_to_db</x:v>
      </x:c>
    </x:row>
    <x:row r="32">
      <x:c r="A32" s="14" t="str">
        <x:v>HIT-032</x:v>
      </x:c>
      <x:c r="B32" s="14" t="str">
        <x:v>Metasurfaces for neutral-atom trapping</x:v>
      </x:c>
      <x:c r="C32" s="14" t="n">
        <x:v>2026</x:v>
      </x:c>
      <x:c r="D32" s="14" t="str">
        <x:v>review/tooling</x:v>
      </x:c>
      <x:c r="E32" s="14" t="str">
        <x:v>Chengyu Fang; Minjeong Kim; Mark Saffman; Jennifer Choy; Mikhail Kats</x:v>
      </x:c>
      <x:c r="F32" s="14" t="str">
        <x:v>https://arxiv.org/abs/2605.30498</x:v>
      </x:c>
      <x:c r="G32" s="14" t="str">
        <x:v>Enabling-technology review for scaling optical-tweezer arrays; possible technology/provider layer.</x:v>
      </x:c>
      <x:c r="H32" s="14" t="str">
        <x:v>Columbia; Sandia; Wisconsin; metasurfaces</x:v>
      </x:c>
      <x:c r="I32" s="14" t="str">
        <x:v>queued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10.380000114440918" hidden="0" customWidth="1"/>
    <x:col min="2" max="2" width="9.880000114440918" hidden="0" customWidth="1"/>
    <x:col min="3" max="3" width="14" hidden="0" customWidth="1"/>
    <x:col min="4" max="4" width="9.130000114440918" hidden="0" customWidth="1"/>
    <x:col min="5" max="5" width="13.25" hidden="0" customWidth="1"/>
    <x:col min="6" max="6" width="6.130000114440918" hidden="0" customWidth="1"/>
    <x:col min="7" max="7" width="6.380000114440918" hidden="0" customWidth="1"/>
    <x:col min="8" max="8" width="14.880000114440918" hidden="0" customWidth="1"/>
    <x:col min="9" max="9" width="13.75" hidden="0" customWidth="1"/>
    <x:col min="10" max="10" width="16.5" hidden="0" customWidth="1"/>
    <x:col min="11" max="11" width="13.5" hidden="0" customWidth="1"/>
    <x:col min="12" max="12" width="17.8799991607666" hidden="0" customWidth="1"/>
    <x:col min="13" max="13" width="15.75" hidden="0" customWidth="1"/>
    <x:col min="14" max="14" width="15.380000114440918" hidden="0" customWidth="1"/>
    <x:col min="15" max="15" width="15.630000114440918" hidden="0" customWidth="1"/>
    <x:col min="16" max="16" width="21.25" hidden="0" customWidth="1"/>
    <x:col min="17" max="17" width="26" hidden="0" customWidth="1"/>
    <x:col min="18" max="18" width="23.75" hidden="0" customWidth="1"/>
    <x:col min="19" max="19" width="16.25" hidden="0" customWidth="1"/>
    <x:col min="20" max="20" width="20.3799991607666" hidden="0" customWidth="1"/>
    <x:col min="21" max="21" width="7.630000114440918" hidden="0" customWidth="1"/>
    <x:col min="22" max="22" width="5.75" hidden="0" customWidth="1"/>
    <x:col min="23" max="23" width="8.880000114440918" hidden="0" customWidth="1"/>
    <x:col min="24" max="24" width="9" hidden="0" customWidth="1"/>
    <x:col min="25" max="25" width="10.380000114440918" hidden="0" customWidth="1"/>
    <x:col min="26" max="26" width="17.75" hidden="0" customWidth="1"/>
    <x:col min="27" max="27" width="18.6299991607666" hidden="0" customWidth="1"/>
    <x:col min="28" max="28" width="5.5" hidden="0" customWidth="1"/>
    <x:col min="29" max="29" width="13.25" hidden="0" customWidth="1"/>
    <x:col min="30" max="30" width="13.25" hidden="0" customWidth="1"/>
    <x:col min="31" max="31" width="16.1299991607666" hidden="0" customWidth="1"/>
    <x:col min="32" max="32" width="11.380000114440918" hidden="0" customWidth="1"/>
    <x:col min="33" max="33" width="13.75" hidden="0" customWidth="1"/>
    <x:col min="34" max="34" width="19.5" hidden="0" customWidth="1"/>
  </x:cols>
  <x:sheetData>
    <x:row r="1" ht="15" hidden="0" customHeight="1">
      <x:c r="A1" s="80" t="str">
        <x:v>record_id</x:v>
      </x:c>
      <x:c r="B1" s="80" t="str">
        <x:v>query_id</x:v>
      </x:c>
      <x:c r="C1" s="80" t="str">
        <x:v>search_bucket</x:v>
      </x:c>
      <x:c r="D1" s="80" t="str">
        <x:v>arxiv_id</x:v>
      </x:c>
      <x:c r="E1" s="80" t="str">
        <x:v>arxiv_version</x:v>
      </x:c>
      <x:c r="F1" s="80" t="str">
        <x:v>title</x:v>
      </x:c>
      <x:c r="G1" s="80" t="str">
        <x:v>year</x:v>
      </x:c>
      <x:c r="H1" s="80" t="str">
        <x:v>published_date</x:v>
      </x:c>
      <x:c r="I1" s="80" t="str">
        <x:v>updated_date</x:v>
      </x:c>
      <x:c r="J1" s="80" t="str">
        <x:v>primary_category</x:v>
      </x:c>
      <x:c r="K1" s="80" t="str">
        <x:v>all_categories</x:v>
      </x:c>
      <x:c r="L1" s="80" t="str">
        <x:v>matched_keywords</x:v>
      </x:c>
      <x:c r="M1" s="80" t="str">
        <x:v>include_decision</x:v>
      </x:c>
      <x:c r="N1" s="80" t="str">
        <x:v>decision_reason</x:v>
      </x:c>
      <x:c r="O1" s="80" t="str">
        <x:v>last_author_raw</x:v>
      </x:c>
      <x:c r="P1" s="80" t="str">
        <x:v>last_author_normalized</x:v>
      </x:c>
      <x:c r="Q1" s="80" t="str">
        <x:v>last_author_is_PI_assumption</x:v>
      </x:c>
      <x:c r="R1" s="80" t="str">
        <x:v>last_author_affiliation_raw</x:v>
      </x:c>
      <x:c r="S1" s="80" t="str">
        <x:v>affiliation_source</x:v>
      </x:c>
      <x:c r="T1" s="80" t="str">
        <x:v>institution_normalized</x:v>
      </x:c>
      <x:c r="U1" s="80" t="str">
        <x:v>ror_id</x:v>
      </x:c>
      <x:c r="V1" s="80" t="str">
        <x:v>city</x:v>
      </x:c>
      <x:c r="W1" s="80" t="str">
        <x:v>country</x:v>
      </x:c>
      <x:c r="X1" s="80" t="str">
        <x:v>latitude</x:v>
      </x:c>
      <x:c r="Y1" s="80" t="str">
        <x:v>longitude</x:v>
      </x:c>
      <x:c r="Z1" s="80" t="str">
        <x:v>database_entity_id</x:v>
      </x:c>
      <x:c r="AA1" s="80" t="str">
        <x:v>entity_match_status</x:v>
      </x:c>
      <x:c r="AB1" s="80" t="str">
        <x:v>doi</x:v>
      </x:c>
      <x:c r="AC1" s="80" t="str">
        <x:v>arxiv_abs_url</x:v>
      </x:c>
      <x:c r="AD1" s="80" t="str">
        <x:v>arxiv_pdf_url</x:v>
      </x:c>
      <x:c r="AE1" s="80" t="str">
        <x:v>other_source_url</x:v>
      </x:c>
      <x:c r="AF1" s="80" t="str">
        <x:v>confidence</x:v>
      </x:c>
      <x:c r="AG1" s="80" t="str">
        <x:v>curator_notes</x:v>
      </x:c>
      <x:c r="AH1" s="80" t="str">
        <x:v>needs_manual_check</x:v>
      </x:c>
    </x:row>
    <x:row r="2" ht="15" hidden="0" customHeight="1">
      <x:c r="A2" s="74" t="str">
        <x:v>ARXIV-PI-0001</x:v>
      </x:c>
      <x:c r="B2" s="74" t="str">
        <x:v>Q-001</x:v>
      </x:c>
      <x:c r="C2" s="74" t="str">
        <x:v>core experimental/mixed</x:v>
      </x:c>
      <x:c r="D2" s="74" t="str"/>
      <x:c r="E2" s="74" t="str"/>
      <x:c r="F2" s="74" t="str">
        <x:v>&lt;paper title&gt;</x:v>
      </x:c>
      <x:c r="G2" s="74" t="n">
        <x:v>2024</x:v>
      </x:c>
      <x:c r="H2" s="74" t="str"/>
      <x:c r="I2" s="74" t="str"/>
      <x:c r="J2" s="74" t="str"/>
      <x:c r="K2" s="74" t="str"/>
      <x:c r="L2" s="74" t="str">
        <x:v>Rydberg; optical tweezers</x:v>
      </x:c>
      <x:c r="M2" s="74" t="str">
        <x:v>pending</x:v>
      </x:c>
      <x:c r="N2" s="74" t="str">
        <x:v>Run arXiv search, then classify A/B/C/Exclude.</x:v>
      </x:c>
      <x:c r="O2" s="74" t="str"/>
      <x:c r="P2" s="74" t="str"/>
      <x:c r="Q2" s="74" t="str">
        <x:v>yes/no/unclear</x:v>
      </x:c>
      <x:c r="R2" s="74" t="str"/>
      <x:c r="S2" s="74" t="str">
        <x:v>arxiv_xml / pdf / OpenAlex / official_page</x:v>
      </x:c>
      <x:c r="T2" s="74" t="str"/>
      <x:c r="U2" s="74" t="str"/>
      <x:c r="V2" s="74" t="str"/>
      <x:c r="W2" s="74" t="str"/>
      <x:c r="X2" s="74" t="str"/>
      <x:c r="Y2" s="74" t="str"/>
      <x:c r="Z2" s="74" t="str"/>
      <x:c r="AA2" s="74" t="str">
        <x:v>new/matched/duplicate</x:v>
      </x:c>
      <x:c r="AB2" s="74" t="str"/>
      <x:c r="AC2" s="74" t="str"/>
      <x:c r="AD2" s="74" t="str"/>
      <x:c r="AE2" s="74" t="str"/>
      <x:c r="AF2" s="74" t="str"/>
      <x:c r="AG2" s="74" t="str">
        <x:v>manual row template</x:v>
      </x:c>
      <x:c r="AH2" s="75" t="b">
        <x:v>1</x:v>
      </x:c>
    </x:row>
    <x:row r="3" ht="15" hidden="0" customHeight="1">
      <x:c r="A3" s="74" t="str">
        <x:v>ARXIV-PI-0002</x:v>
      </x:c>
      <x:c r="B3" s="74" t="str">
        <x:v>Q-006</x:v>
      </x:c>
      <x:c r="C3" s="74" t="str">
        <x:v>theory/mixed</x:v>
      </x:c>
      <x:c r="D3" s="74" t="str"/>
      <x:c r="E3" s="74" t="str"/>
      <x:c r="F3" s="74" t="str">
        <x:v>&lt;paper title&gt;</x:v>
      </x:c>
      <x:c r="G3" s="74" t="n">
        <x:v>2025</x:v>
      </x:c>
      <x:c r="H3" s="74" t="str"/>
      <x:c r="I3" s="74" t="str"/>
      <x:c r="J3" s="74" t="str"/>
      <x:c r="K3" s="74" t="str"/>
      <x:c r="L3" s="74" t="str">
        <x:v>Rydberg atom array; QEC</x:v>
      </x:c>
      <x:c r="M3" s="74" t="str">
        <x:v>pending</x:v>
      </x:c>
      <x:c r="N3" s="74" t="str">
        <x:v>Use last author as PI proxy only after affiliation check.</x:v>
      </x:c>
      <x:c r="O3" s="74" t="str"/>
      <x:c r="P3" s="74" t="str"/>
      <x:c r="Q3" s="74" t="str">
        <x:v>yes/no/unclear</x:v>
      </x:c>
      <x:c r="R3" s="74" t="str"/>
      <x:c r="S3" s="74" t="str">
        <x:v>pdf / OpenAlex / Semantic Scholar / official_page</x:v>
      </x:c>
      <x:c r="T3" s="74" t="str"/>
      <x:c r="U3" s="74" t="str"/>
      <x:c r="V3" s="74" t="str"/>
      <x:c r="W3" s="74" t="str"/>
      <x:c r="X3" s="74" t="str"/>
      <x:c r="Y3" s="74" t="str"/>
      <x:c r="Z3" s="74" t="str"/>
      <x:c r="AA3" s="74" t="str">
        <x:v>new/matched/duplicate</x:v>
      </x:c>
      <x:c r="AB3" s="74" t="str"/>
      <x:c r="AC3" s="74" t="str"/>
      <x:c r="AD3" s="74" t="str"/>
      <x:c r="AE3" s="74" t="str"/>
      <x:c r="AF3" s="74" t="str"/>
      <x:c r="AG3" s="74" t="str">
        <x:v>manual row template</x:v>
      </x:c>
      <x:c r="AH3" s="75" t="b">
        <x:v>1</x:v>
      </x:c>
    </x:row>
    <x:row r="4" ht="15" hidden="0" customHeight="1">
      <x:c r="A4" s="14" t="str">
        <x:v>ARXIV-PI-0003</x:v>
      </x:c>
      <x:c r="B4" s="14" t="str">
        <x:v>Q-013</x:v>
      </x:c>
      <x:c r="C4" s="14" t="str">
        <x:v>arxiv pilot 2024-2026 core experimental</x:v>
      </x:c>
      <x:c r="D4" s="14" t="str">
        <x:v>2606.03922</x:v>
      </x:c>
      <x:c r="E4" s="14" t="str">
        <x:v>v1</x:v>
      </x:c>
      <x:c r="F4" s="14" t="str">
        <x:v>Fast single-atom preparation in optical tweezers via Rydberg blockade</x:v>
      </x:c>
      <x:c r="G4" s="14" t="n">
        <x:v>2026</x:v>
      </x:c>
      <x:c r="H4" s="14" t="str">
        <x:v>2026-06-02</x:v>
      </x:c>
      <x:c r="I4" s="14"/>
      <x:c r="J4" s="14" t="str">
        <x:v>quant-ph</x:v>
      </x:c>
      <x:c r="K4" s="14" t="str">
        <x:v>quant-ph; physics.atom-ph</x:v>
      </x:c>
      <x:c r="L4" s="14" t="str">
        <x:v>Rydberg blockade; optical tweezers; Yb; loading</x:v>
      </x:c>
      <x:c r="M4" s="14" t="str">
        <x:v>include</x:v>
      </x:c>
      <x:c r="N4" s="14" t="str">
        <x:v>Core experimental paper; directly Rydberg + optical tweezers.</x:v>
      </x:c>
      <x:c r="O4" s="14" t="str">
        <x:v>Jeff D. Thompson</x:v>
      </x:c>
      <x:c r="P4" s="14" t="str">
        <x:v>Jeff D. Thompson</x:v>
      </x:c>
      <x:c r="Q4" s="14" t="str">
        <x:v>yes</x:v>
      </x:c>
      <x:c r="R4" s="14" t="str">
        <x:v>Princeton University</x:v>
      </x:c>
      <x:c r="S4" s="14" t="str">
        <x:v>matched_existing_database</x:v>
      </x:c>
      <x:c r="T4" s="14" t="str">
        <x:v>Princeton University</x:v>
      </x:c>
      <x:c r="U4" s="14"/>
      <x:c r="V4" s="14" t="str">
        <x:v>Princeton</x:v>
      </x:c>
      <x:c r="W4" s="14" t="str">
        <x:v>United States</x:v>
      </x:c>
      <x:c r="X4" s="14" t="n">
        <x:v>40.3431</x:v>
      </x:c>
      <x:c r="Y4" s="14" t="n">
        <x:v>-74.6551</x:v>
      </x:c>
      <x:c r="Z4" s="14" t="str">
        <x:v>E-003</x:v>
      </x:c>
      <x:c r="AA4" s="14" t="str">
        <x:v>matched</x:v>
      </x:c>
      <x:c r="AB4" s="14"/>
      <x:c r="AC4" s="14" t="str">
        <x:v>https://arxiv.org/abs/2606.03922</x:v>
      </x:c>
      <x:c r="AD4" s="14" t="str">
        <x:v>https://arxiv.org/pdf/2606.03922</x:v>
      </x:c>
      <x:c r="AE4" s="14"/>
      <x:c r="AF4" s="14" t="str">
        <x:v>A</x:v>
      </x:c>
      <x:c r="AG4" s="14" t="str">
        <x:v>Useful for Thompson/Yb pipeline and fast loading via blockade.</x:v>
      </x:c>
      <x:c r="AH4" s="53" t="b">
        <x:v>0</x:v>
      </x:c>
    </x:row>
    <x:row r="5" ht="15" hidden="0" customHeight="1">
      <x:c r="A5" s="14" t="str">
        <x:v>ARXIV-PI-0004</x:v>
      </x:c>
      <x:c r="B5" s="14" t="str">
        <x:v>Q-014</x:v>
      </x:c>
      <x:c r="C5" s="14" t="str">
        <x:v>arxiv pilot 2024-2026 core experimental</x:v>
      </x:c>
      <x:c r="D5" s="14" t="str">
        <x:v>2603.21643</x:v>
      </x:c>
      <x:c r="E5" s="14" t="str">
        <x:v>v1</x:v>
      </x:c>
      <x:c r="F5" s="14" t="str">
        <x:v>Gate-based Readout and Cooling of Neutral Atoms</x:v>
      </x:c>
      <x:c r="G5" s="14" t="n">
        <x:v>2026</x:v>
      </x:c>
      <x:c r="H5" s="14" t="str">
        <x:v>2026-03-23</x:v>
      </x:c>
      <x:c r="I5" s="14"/>
      <x:c r="J5" s="14" t="str">
        <x:v>quant-ph</x:v>
      </x:c>
      <x:c r="K5" s="14" t="str">
        <x:v>quant-ph; physics.atom-ph</x:v>
      </x:c>
      <x:c r="L5" s="14" t="str">
        <x:v>neutral atoms; optical tweezers; Rydberg gates; readout; cooling</x:v>
      </x:c>
      <x:c r="M5" s="14" t="str">
        <x:v>include</x:v>
      </x:c>
      <x:c r="N5" s="14" t="str">
        <x:v>Core experimental/mixed paper; Rydberg gates used as toolbox.</x:v>
      </x:c>
      <x:c r="O5" s="14" t="str">
        <x:v>Manuel Endres</x:v>
      </x:c>
      <x:c r="P5" s="14" t="str">
        <x:v>Manuel Endres</x:v>
      </x:c>
      <x:c r="Q5" s="14" t="str">
        <x:v>yes</x:v>
      </x:c>
      <x:c r="R5" s="14" t="str">
        <x:v>California Institute of Technology</x:v>
      </x:c>
      <x:c r="S5" s="14" t="str">
        <x:v>matched_existing_database</x:v>
      </x:c>
      <x:c r="T5" s="14" t="str">
        <x:v>California Institute of Technology</x:v>
      </x:c>
      <x:c r="U5" s="14"/>
      <x:c r="V5" s="14" t="str">
        <x:v>Pasadena</x:v>
      </x:c>
      <x:c r="W5" s="14" t="str">
        <x:v>United States</x:v>
      </x:c>
      <x:c r="X5" s="14" t="n">
        <x:v>34.1377</x:v>
      </x:c>
      <x:c r="Y5" s="14" t="n">
        <x:v>-118.1253</x:v>
      </x:c>
      <x:c r="Z5" s="14" t="str">
        <x:v>E-004</x:v>
      </x:c>
      <x:c r="AA5" s="14" t="str">
        <x:v>matched</x:v>
      </x:c>
      <x:c r="AB5" s="14"/>
      <x:c r="AC5" s="14" t="str">
        <x:v>https://arxiv.org/abs/2603.21643</x:v>
      </x:c>
      <x:c r="AD5" s="14" t="str">
        <x:v>https://arxiv.org/pdf/2603.21643</x:v>
      </x:c>
      <x:c r="AE5" s="14"/>
      <x:c r="AF5" s="14" t="str">
        <x:v>A</x:v>
      </x:c>
      <x:c r="AG5" s="14" t="str">
        <x:v>Important for QEC-enabling operations: readout, loss detection, motional cooling.</x:v>
      </x:c>
      <x:c r="AH5" s="53" t="b">
        <x:v>0</x:v>
      </x:c>
    </x:row>
    <x:row r="6" ht="15" hidden="0" customHeight="1">
      <x:c r="A6" s="14" t="str">
        <x:v>ARXIV-PI-0005</x:v>
      </x:c>
      <x:c r="B6" s="14" t="str">
        <x:v>Q-014</x:v>
      </x:c>
      <x:c r="C6" s="14" t="str">
        <x:v>arxiv pilot 2024-2026 core experimental</x:v>
      </x:c>
      <x:c r="D6" s="14" t="str">
        <x:v>2603.13492</x:v>
      </x:c>
      <x:c r="E6" s="14" t="str">
        <x:v>v3</x:v>
      </x:c>
      <x:c r="F6" s="14" t="str">
        <x:v>Qubit syndrome measurements with a high fidelity Rb-Cs Rydberg gate</x:v>
      </x:c>
      <x:c r="G6" s="14" t="n">
        <x:v>2026</x:v>
      </x:c>
      <x:c r="H6" s="14" t="str">
        <x:v>2026-03-13</x:v>
      </x:c>
      <x:c r="I6" s="14" t="str">
        <x:v>2026-03-26</x:v>
      </x:c>
      <x:c r="J6" s="14" t="str">
        <x:v>quant-ph</x:v>
      </x:c>
      <x:c r="K6" s="14" t="str">
        <x:v>quant-ph</x:v>
      </x:c>
      <x:c r="L6" s="14" t="str">
        <x:v>Rb-Cs; Rydberg gate; syndrome measurement; QEC</x:v>
      </x:c>
      <x:c r="M6" s="14" t="str">
        <x:v>include</x:v>
      </x:c>
      <x:c r="N6" s="14" t="str">
        <x:v>Core dual-species Rydberg gate/QEC paper.</x:v>
      </x:c>
      <x:c r="O6" s="14" t="str">
        <x:v>M. Saffman</x:v>
      </x:c>
      <x:c r="P6" s="14" t="str">
        <x:v>Mark Saffman</x:v>
      </x:c>
      <x:c r="Q6" s="14" t="str">
        <x:v>yes</x:v>
      </x:c>
      <x:c r="R6" s="14" t="str">
        <x:v>University of Wisconsin-Madison</x:v>
      </x:c>
      <x:c r="S6" s="14" t="str">
        <x:v>matched_existing_database</x:v>
      </x:c>
      <x:c r="T6" s="14" t="str">
        <x:v>University of Wisconsin-Madison</x:v>
      </x:c>
      <x:c r="U6" s="14"/>
      <x:c r="V6" s="14" t="str">
        <x:v>Madison</x:v>
      </x:c>
      <x:c r="W6" s="14" t="str">
        <x:v>United States</x:v>
      </x:c>
      <x:c r="X6" s="14" t="n">
        <x:v>43.0731</x:v>
      </x:c>
      <x:c r="Y6" s="14" t="n">
        <x:v>-89.4012</x:v>
      </x:c>
      <x:c r="Z6" s="14" t="str">
        <x:v>E-005</x:v>
      </x:c>
      <x:c r="AA6" s="14" t="str">
        <x:v>matched</x:v>
      </x:c>
      <x:c r="AB6" s="14"/>
      <x:c r="AC6" s="14" t="str">
        <x:v>https://arxiv.org/abs/2603.13492</x:v>
      </x:c>
      <x:c r="AD6" s="14" t="str">
        <x:v>https://arxiv.org/pdf/2603.13492</x:v>
      </x:c>
      <x:c r="AE6" s="14"/>
      <x:c r="AF6" s="14" t="str">
        <x:v>A</x:v>
      </x:c>
      <x:c r="AG6" s="14" t="str">
        <x:v>Promote Saffman row from B to A/recent-active in a future DB pass.</x:v>
      </x:c>
      <x:c r="AH6" s="53" t="b">
        <x:v>0</x:v>
      </x:c>
    </x:row>
    <x:row r="7" ht="15" hidden="0" customHeight="1">
      <x:c r="A7" s="14" t="str">
        <x:v>ARXIV-PI-0006</x:v>
      </x:c>
      <x:c r="B7" s="14" t="str">
        <x:v>Q-014</x:v>
      </x:c>
      <x:c r="C7" s="14" t="str">
        <x:v>arxiv pilot 2024-2026 core experimental</x:v>
      </x:c>
      <x:c r="D7" s="14" t="str">
        <x:v>2605.10924</x:v>
      </x:c>
      <x:c r="E7" s="14" t="str">
        <x:v>v1</x:v>
      </x:c>
      <x:c r="F7" s="14" t="str">
        <x:v>Multi-Qubit Stabilizer Readout on a Dual-Species Rydberg Array</x:v>
      </x:c>
      <x:c r="G7" s="14" t="n">
        <x:v>2026</x:v>
      </x:c>
      <x:c r="H7" s="14" t="str">
        <x:v>2026-05-11</x:v>
      </x:c>
      <x:c r="I7" s="14"/>
      <x:c r="J7" s="14" t="str">
        <x:v>quant-ph</x:v>
      </x:c>
      <x:c r="K7" s="14" t="str">
        <x:v>quant-ph; physics.atom-ph</x:v>
      </x:c>
      <x:c r="L7" s="14" t="str">
        <x:v>dual-species; Na; Cs; Rydberg array; optical tweezers; QEC</x:v>
      </x:c>
      <x:c r="M7" s="14" t="str">
        <x:v>include</x:v>
      </x:c>
      <x:c r="N7" s="14" t="str">
        <x:v>Core experimental paper; explicitly 2D optical tweezer dual-species Rydberg array.</x:v>
      </x:c>
      <x:c r="O7" s="14" t="str">
        <x:v>Kang-Kuen Ni</x:v>
      </x:c>
      <x:c r="P7" s="14" t="str">
        <x:v>Kang-Kuen Ni</x:v>
      </x:c>
      <x:c r="Q7" s="14" t="str">
        <x:v>yes</x:v>
      </x:c>
      <x:c r="R7" s="14" t="str">
        <x:v>Harvard University</x:v>
      </x:c>
      <x:c r="S7" s="14" t="str">
        <x:v>arxiv_html / dissertation cross-check</x:v>
      </x:c>
      <x:c r="T7" s="14" t="str">
        <x:v>Harvard University</x:v>
      </x:c>
      <x:c r="U7" s="14"/>
      <x:c r="V7" s="14" t="str">
        <x:v>Cambridge</x:v>
      </x:c>
      <x:c r="W7" s="14" t="str">
        <x:v>United States</x:v>
      </x:c>
      <x:c r="X7" s="14" t="n">
        <x:v>42.3736</x:v>
      </x:c>
      <x:c r="Y7" s="14" t="n">
        <x:v>-71.1097</x:v>
      </x:c>
      <x:c r="Z7" s="14"/>
      <x:c r="AA7" s="14" t="str">
        <x:v>new</x:v>
      </x:c>
      <x:c r="AB7" s="14" t="str">
        <x:v>10.48550/arXiv.2605.10924</x:v>
      </x:c>
      <x:c r="AC7" s="14" t="str">
        <x:v>https://arxiv.org/abs/2605.10924</x:v>
      </x:c>
      <x:c r="AD7" s="14" t="str">
        <x:v>https://arxiv.org/pdf/2605.10924</x:v>
      </x:c>
      <x:c r="AE7" s="14" t="str">
        <x:v>https://kni.faculty.chemistry.harvard.edu/</x:v>
      </x:c>
      <x:c r="AF7" s="14" t="str">
        <x:v>A</x:v>
      </x:c>
      <x:c r="AG7" s="14" t="str">
        <x:v>New core DB candidate: Ni group as dual-species Rydberg tweezer array.</x:v>
      </x:c>
      <x:c r="AH7" s="53" t="b">
        <x:v>0</x:v>
      </x:c>
    </x:row>
    <x:row r="8" ht="15" hidden="0" customHeight="1">
      <x:c r="A8" s="14" t="str">
        <x:v>ARXIV-PI-0007</x:v>
      </x:c>
      <x:c r="B8" s="14" t="str">
        <x:v>Q-014</x:v>
      </x:c>
      <x:c r="C8" s="14" t="str">
        <x:v>arxiv pilot 2024-2026 core experimental</x:v>
      </x:c>
      <x:c r="D8" s="14" t="str">
        <x:v>2401.10325</x:v>
      </x:c>
      <x:c r="E8" s="14" t="str">
        <x:v>v1</x:v>
      </x:c>
      <x:c r="F8" s="14" t="str">
        <x:v>A dual-species Rydberg array</x:v>
      </x:c>
      <x:c r="G8" s="14" t="n">
        <x:v>2024</x:v>
      </x:c>
      <x:c r="H8" s="14" t="str">
        <x:v>2024-01-18</x:v>
      </x:c>
      <x:c r="I8" s="14"/>
      <x:c r="J8" s="14" t="str">
        <x:v>quant-ph</x:v>
      </x:c>
      <x:c r="K8" s="14" t="str">
        <x:v>quant-ph; physics.atom-ph</x:v>
      </x:c>
      <x:c r="L8" s="14" t="str">
        <x:v>dual-species; Rb; Cs; Rydberg array; midcircuit readout</x:v>
      </x:c>
      <x:c r="M8" s="14" t="str">
        <x:v>include</x:v>
      </x:c>
      <x:c r="N8" s="14" t="str">
        <x:v>Core experimental paper; dual-species Rydberg array; affiliation resolved from arxiv HTML.</x:v>
      </x:c>
      <x:c r="O8" s="14" t="str">
        <x:v>Hannes Bernien</x:v>
      </x:c>
      <x:c r="P8" s="14" t="str">
        <x:v>Hannes Bernien</x:v>
      </x:c>
      <x:c r="Q8" s="14" t="str">
        <x:v>yes</x:v>
      </x:c>
      <x:c r="R8" s="14" t="str">
        <x:v>University of Chicago</x:v>
      </x:c>
      <x:c r="S8" s="14" t="str">
        <x:v>arxiv_html</x:v>
      </x:c>
      <x:c r="T8" s="14" t="str">
        <x:v>University of Chicago</x:v>
      </x:c>
      <x:c r="U8" s="14"/>
      <x:c r="V8" s="14" t="str">
        <x:v>Chicago</x:v>
      </x:c>
      <x:c r="W8" s="14" t="str">
        <x:v>United States</x:v>
      </x:c>
      <x:c r="X8" s="14" t="n">
        <x:v>41.8781</x:v>
      </x:c>
      <x:c r="Y8" s="14" t="n">
        <x:v>-87.6298</x:v>
      </x:c>
      <x:c r="Z8" s="14"/>
      <x:c r="AA8" s="14" t="str">
        <x:v>new</x:v>
      </x:c>
      <x:c r="AB8" s="14"/>
      <x:c r="AC8" s="14" t="str">
        <x:v>https://arxiv.org/abs/2401.10325</x:v>
      </x:c>
      <x:c r="AD8" s="14" t="str">
        <x:v>https://arxiv.org/pdf/2401.10325</x:v>
      </x:c>
      <x:c r="AE8" s="14" t="str">
        <x:v>https://bernienlab.com/</x:v>
      </x:c>
      <x:c r="AF8" s="14" t="str">
        <x:v>A</x:v>
      </x:c>
      <x:c r="AG8" s="14" t="str">
        <x:v>New core DB candidate; note Bernien moved to Innsbruck/IQOQI in 2025, but paper affiliation is Chicago.</x:v>
      </x:c>
      <x:c r="AH8" s="53" t="b">
        <x:v>0</x:v>
      </x:c>
    </x:row>
    <x:row r="9" ht="15" hidden="0" customHeight="1">
      <x:c r="A9" s="14" t="str">
        <x:v>ARXIV-PI-0008</x:v>
      </x:c>
      <x:c r="B9" s="14" t="str">
        <x:v>Q-015</x:v>
      </x:c>
      <x:c r="C9" s="14" t="str">
        <x:v>arxiv pilot 2024-2026 core/architecture</x:v>
      </x:c>
      <x:c r="D9" s="14" t="str">
        <x:v>2606.08453</x:v>
      </x:c>
      <x:c r="E9" s="14" t="str">
        <x:v>v1</x:v>
      </x:c>
      <x:c r="F9" s="14" t="str">
        <x:v>A Dual Metastable-State Encoding Architecture for Quantum Processing with 171Yb Atom Arrays</x:v>
      </x:c>
      <x:c r="G9" s="14" t="n">
        <x:v>2026</x:v>
      </x:c>
      <x:c r="H9" s="14" t="str">
        <x:v>2026-06-07</x:v>
      </x:c>
      <x:c r="I9" s="14"/>
      <x:c r="J9" s="14" t="str">
        <x:v>quant-ph</x:v>
      </x:c>
      <x:c r="K9" s="14" t="str">
        <x:v>quant-ph; physics.atom-ph</x:v>
      </x:c>
      <x:c r="L9" s="14" t="str">
        <x:v>Yb; neutral atom arrays; Rydberg-mediated entangling interactions; QEC architecture</x:v>
      </x:c>
      <x:c r="M9" s="14" t="str">
        <x:v>include</x:v>
      </x:c>
      <x:c r="N9" s="14" t="str">
        <x:v>Core/theory-architecture paper for Yb neutral atom arrays.</x:v>
      </x:c>
      <x:c r="O9" s="14" t="str">
        <x:v>Alex P. Burgers</x:v>
      </x:c>
      <x:c r="P9" s="14" t="str">
        <x:v>Alex P. Burgers</x:v>
      </x:c>
      <x:c r="Q9" s="14" t="str">
        <x:v>yes</x:v>
      </x:c>
      <x:c r="R9" s="14" t="str">
        <x:v>University of Michigan</x:v>
      </x:c>
      <x:c r="S9" s="14" t="str">
        <x:v>official/scholar cross-check pending</x:v>
      </x:c>
      <x:c r="T9" s="14" t="str">
        <x:v>University of Michigan</x:v>
      </x:c>
      <x:c r="U9" s="14"/>
      <x:c r="V9" s="14" t="str">
        <x:v>Ann Arbor</x:v>
      </x:c>
      <x:c r="W9" s="14" t="str">
        <x:v>United States</x:v>
      </x:c>
      <x:c r="X9" s="14" t="n">
        <x:v>42.2808</x:v>
      </x:c>
      <x:c r="Y9" s="14" t="n">
        <x:v>-83.743</x:v>
      </x:c>
      <x:c r="Z9" s="14"/>
      <x:c r="AA9" s="14" t="str">
        <x:v>new</x:v>
      </x:c>
      <x:c r="AB9" s="14"/>
      <x:c r="AC9" s="14" t="str">
        <x:v>https://arxiv.org/abs/2606.08453</x:v>
      </x:c>
      <x:c r="AD9" s="14" t="str">
        <x:v>https://arxiv.org/pdf/2606.08453</x:v>
      </x:c>
      <x:c r="AE9" s="14" t="str">
        <x:v>https://ece.engin.umich.edu/stories/alex-burgers-awarded-aro-support-for-research-on-long-lasting-qubit-states-in-ytterbium</x:v>
      </x:c>
      <x:c r="AF9" s="14" t="str">
        <x:v>B</x:v>
      </x:c>
      <x:c r="AG9" s="14" t="str">
        <x:v>New candidate: likely theory/architecture or emerging experimental Yb group.</x:v>
      </x:c>
      <x:c r="AH9" s="53" t="b">
        <x:v>1</x:v>
      </x:c>
    </x:row>
    <x:row r="10" ht="15" hidden="0" customHeight="1">
      <x:c r="A10" s="14" t="str">
        <x:v>ARXIV-PI-0009</x:v>
      </x:c>
      <x:c r="B10" s="14" t="str">
        <x:v>Q-013</x:v>
      </x:c>
      <x:c r="C10" s="14" t="str">
        <x:v>arxiv pilot 2024-2026 core experimental</x:v>
      </x:c>
      <x:c r="D10" s="14" t="str">
        <x:v>2506.13632</x:v>
      </x:c>
      <x:c r="E10" s="14" t="str">
        <x:v>v2</x:v>
      </x:c>
      <x:c r="F10" s="14" t="str">
        <x:v>High-fidelity entanglement and coherent multi-qubit mapping in an atom array</x:v>
      </x:c>
      <x:c r="G10" s="14" t="n">
        <x:v>2025</x:v>
      </x:c>
      <x:c r="H10" s="14" t="str">
        <x:v>2025-06-16</x:v>
      </x:c>
      <x:c r="I10" s="14" t="str">
        <x:v>2025-11-25</x:v>
      </x:c>
      <x:c r="J10" s="14" t="str">
        <x:v>quant-ph</x:v>
      </x:c>
      <x:c r="K10" s="14" t="str">
        <x:v>quant-ph; cond-mat.quant-gas; physics.atom-ph</x:v>
      </x:c>
      <x:c r="L10" s="14" t="str">
        <x:v>Yb; Rydberg qubit; optical tweezer arrays; erasure detection</x:v>
      </x:c>
      <x:c r="M10" s="14" t="str">
        <x:v>include</x:v>
      </x:c>
      <x:c r="N10" s="14" t="str">
        <x:v>Core experimental Yb tweezer/Rydberg paper.</x:v>
      </x:c>
      <x:c r="O10" s="14" t="str">
        <x:v>Adam M. Kaufman</x:v>
      </x:c>
      <x:c r="P10" s="14" t="str">
        <x:v>Adam M. Kaufman</x:v>
      </x:c>
      <x:c r="Q10" s="14" t="str">
        <x:v>yes</x:v>
      </x:c>
      <x:c r="R10" s="14" t="str">
        <x:v>JILA / University of Colorado Boulder</x:v>
      </x:c>
      <x:c r="S10" s="14" t="str">
        <x:v>matched_existing_database</x:v>
      </x:c>
      <x:c r="T10" s="14" t="str">
        <x:v>JILA / University of Colorado Boulder</x:v>
      </x:c>
      <x:c r="U10" s="14"/>
      <x:c r="V10" s="14" t="str">
        <x:v>Boulder</x:v>
      </x:c>
      <x:c r="W10" s="14" t="str">
        <x:v>United States</x:v>
      </x:c>
      <x:c r="X10" s="14" t="n">
        <x:v>40.015</x:v>
      </x:c>
      <x:c r="Y10" s="14" t="n">
        <x:v>-105.2705</x:v>
      </x:c>
      <x:c r="Z10" s="14" t="str">
        <x:v>E-014</x:v>
      </x:c>
      <x:c r="AA10" s="14" t="str">
        <x:v>matched</x:v>
      </x:c>
      <x:c r="AB10" s="14"/>
      <x:c r="AC10" s="14" t="str">
        <x:v>https://arxiv.org/abs/2506.13632</x:v>
      </x:c>
      <x:c r="AD10" s="14" t="str">
        <x:v>https://arxiv.org/pdf/2506.13632</x:v>
      </x:c>
      <x:c r="AE10" s="14" t="str">
        <x:v>https://www.colorado.edu/jila/kaufman</x:v>
      </x:c>
      <x:c r="AF10" s="14" t="str">
        <x:v>A</x:v>
      </x:c>
      <x:c r="AG10" s="14" t="str">
        <x:v>Strong signal for Kaufman as core Rydberg/Yb tweezer node.</x:v>
      </x:c>
      <x:c r="AH10" s="53" t="b">
        <x:v>0</x:v>
      </x:c>
    </x:row>
    <x:row r="11" ht="15" hidden="0" customHeight="1">
      <x:c r="A11" s="14" t="str">
        <x:v>ARXIV-PI-0010</x:v>
      </x:c>
      <x:c r="B11" s="14" t="str">
        <x:v>Q-013</x:v>
      </x:c>
      <x:c r="C11" s="14" t="str">
        <x:v>arxiv pilot 2024-2026 core experimental</x:v>
      </x:c>
      <x:c r="D11" s="14" t="str">
        <x:v>2406.01482</x:v>
      </x:c>
      <x:c r="E11" s="14" t="str">
        <x:v>v2</x:v>
      </x:c>
      <x:c r="F11" s="14" t="str">
        <x:v>Spectroscopy and modeling of 171Yb Rydberg states for high-fidelity two-qubit gates</x:v>
      </x:c>
      <x:c r="G11" s="14" t="n">
        <x:v>2024</x:v>
      </x:c>
      <x:c r="H11" s="14" t="str">
        <x:v>2024-06-03</x:v>
      </x:c>
      <x:c r="I11" s="14" t="str">
        <x:v>2024-11-13</x:v>
      </x:c>
      <x:c r="J11" s="14" t="str">
        <x:v>physics.atom-ph</x:v>
      </x:c>
      <x:c r="K11" s="14" t="str">
        <x:v>physics.atom-ph; quant-ph</x:v>
      </x:c>
      <x:c r="L11" s="14" t="str">
        <x:v>Yb; Rydberg spectroscopy; optical tweezer array; gates</x:v>
      </x:c>
      <x:c r="M11" s="14" t="str">
        <x:v>include</x:v>
      </x:c>
      <x:c r="N11" s="14" t="str">
        <x:v>Core experimental/modeling paper; validated in optical tweezer array.</x:v>
      </x:c>
      <x:c r="O11" s="14" t="str">
        <x:v>Jeff D. Thompson</x:v>
      </x:c>
      <x:c r="P11" s="14" t="str">
        <x:v>Jeff D. Thompson</x:v>
      </x:c>
      <x:c r="Q11" s="14" t="str">
        <x:v>yes</x:v>
      </x:c>
      <x:c r="R11" s="14" t="str">
        <x:v>Princeton University</x:v>
      </x:c>
      <x:c r="S11" s="14" t="str">
        <x:v>matched_existing_database</x:v>
      </x:c>
      <x:c r="T11" s="14" t="str">
        <x:v>Princeton University</x:v>
      </x:c>
      <x:c r="U11" s="14"/>
      <x:c r="V11" s="14" t="str">
        <x:v>Princeton</x:v>
      </x:c>
      <x:c r="W11" s="14" t="str">
        <x:v>United States</x:v>
      </x:c>
      <x:c r="X11" s="14" t="n">
        <x:v>40.3431</x:v>
      </x:c>
      <x:c r="Y11" s="14" t="n">
        <x:v>-74.6551</x:v>
      </x:c>
      <x:c r="Z11" s="14" t="str">
        <x:v>E-003</x:v>
      </x:c>
      <x:c r="AA11" s="14" t="str">
        <x:v>matched</x:v>
      </x:c>
      <x:c r="AB11" s="14"/>
      <x:c r="AC11" s="14" t="str">
        <x:v>https://arxiv.org/abs/2406.01482</x:v>
      </x:c>
      <x:c r="AD11" s="14" t="str">
        <x:v>https://arxiv.org/pdf/2406.01482</x:v>
      </x:c>
      <x:c r="AE11" s="14"/>
      <x:c r="AF11" s="14" t="str">
        <x:v>A</x:v>
      </x:c>
      <x:c r="AG11" s="14" t="str">
        <x:v>Second Thompson/Yb row; counts for PI aggregate.</x:v>
      </x:c>
      <x:c r="AH11" s="53" t="b">
        <x:v>0</x:v>
      </x:c>
    </x:row>
    <x:row r="12" ht="15" hidden="0" customHeight="1">
      <x:c r="A12" s="14" t="str">
        <x:v>ARXIV-PI-0011</x:v>
      </x:c>
      <x:c r="B12" s="14" t="str">
        <x:v>Q-013</x:v>
      </x:c>
      <x:c r="C12" s="14" t="str">
        <x:v>arxiv pilot 2024-2026 core experimental</x:v>
      </x:c>
      <x:c r="D12" s="14" t="str">
        <x:v>2602.05959</x:v>
      </x:c>
      <x:c r="E12" s="14" t="str">
        <x:v>v1</x:v>
      </x:c>
      <x:c r="F12" s="14" t="str">
        <x:v>Extended Rydberg Lifetimes in a Cryogenic Atom Array</x:v>
      </x:c>
      <x:c r="G12" s="14" t="n">
        <x:v>2026</x:v>
      </x:c>
      <x:c r="H12" s="14" t="str">
        <x:v>2026-02-05</x:v>
      </x:c>
      <x:c r="I12" s="14"/>
      <x:c r="J12" s="14" t="str">
        <x:v>quant-ph</x:v>
      </x:c>
      <x:c r="K12" s="14" t="str">
        <x:v>quant-ph; physics.atom-ph</x:v>
      </x:c>
      <x:c r="L12" s="14" t="str">
        <x:v>cryogenic; Cs; Rydberg lifetimes; optical tweezer array</x:v>
      </x:c>
      <x:c r="M12" s="14" t="str">
        <x:v>include</x:v>
      </x:c>
      <x:c r="N12" s="14" t="str">
        <x:v>Core experimental paper; Rydberg + optical tweezer + cryogenic environment.</x:v>
      </x:c>
      <x:c r="O12" s="14" t="str">
        <x:v>Waseem S. Bakr</x:v>
      </x:c>
      <x:c r="P12" s="14" t="str">
        <x:v>Waseem S. Bakr</x:v>
      </x:c>
      <x:c r="Q12" s="14" t="str">
        <x:v>yes</x:v>
      </x:c>
      <x:c r="R12" s="14" t="str">
        <x:v>Princeton University</x:v>
      </x:c>
      <x:c r="S12" s="14" t="str">
        <x:v>arxiv / existing candidate cross-check</x:v>
      </x:c>
      <x:c r="T12" s="14" t="str">
        <x:v>Princeton University</x:v>
      </x:c>
      <x:c r="U12" s="14"/>
      <x:c r="V12" s="14" t="str">
        <x:v>Princeton</x:v>
      </x:c>
      <x:c r="W12" s="14" t="str">
        <x:v>United States</x:v>
      </x:c>
      <x:c r="X12" s="14" t="n">
        <x:v>40.3431</x:v>
      </x:c>
      <x:c r="Y12" s="14" t="n">
        <x:v>-74.6551</x:v>
      </x:c>
      <x:c r="Z12" s="14"/>
      <x:c r="AA12" s="14" t="str">
        <x:v>new</x:v>
      </x:c>
      <x:c r="AB12" s="14"/>
      <x:c r="AC12" s="14" t="str">
        <x:v>https://arxiv.org/abs/2602.05959</x:v>
      </x:c>
      <x:c r="AD12" s="14" t="str">
        <x:v>https://arxiv.org/pdf/2602.05959</x:v>
      </x:c>
      <x:c r="AE12" s="14"/>
      <x:c r="AF12" s="14" t="str">
        <x:v>A</x:v>
      </x:c>
      <x:c r="AG12" s="14" t="str">
        <x:v>New/potential DB row: Bakr group cryogenic Rydberg atom array.</x:v>
      </x:c>
      <x:c r="AH12" s="53" t="b">
        <x:v>0</x:v>
      </x:c>
    </x:row>
    <x:row r="13" ht="15" hidden="0" customHeight="1">
      <x:c r="A13" s="14" t="str">
        <x:v>ARXIV-PI-0012</x:v>
      </x:c>
      <x:c r="B13" s="14" t="str">
        <x:v>Q-015</x:v>
      </x:c>
      <x:c r="C13" s="14" t="str">
        <x:v>arxiv pilot 2024-2026 core/adjacent experimental</x:v>
      </x:c>
      <x:c r="D13" s="14" t="str">
        <x:v>2401.10625</x:v>
      </x:c>
      <x:c r="E13" s="14" t="str">
        <x:v>v1</x:v>
      </x:c>
      <x:c r="F13" s="14" t="str">
        <x:v>Long-Lived Circular Rydberg Qubits of Alkaline-Earth Atoms in Optical Tweezers</x:v>
      </x:c>
      <x:c r="G13" s="14" t="n">
        <x:v>2024</x:v>
      </x:c>
      <x:c r="H13" s="14" t="str">
        <x:v>2024-01-19</x:v>
      </x:c>
      <x:c r="I13" s="14"/>
      <x:c r="J13" s="14" t="str">
        <x:v>physics.atom-ph</x:v>
      </x:c>
      <x:c r="K13" s="14" t="str">
        <x:v>physics.atom-ph; quant-ph</x:v>
      </x:c>
      <x:c r="L13" s="14" t="str">
        <x:v>circular Rydberg; Sr; optical tweezers; alkaline-earth</x:v>
      </x:c>
      <x:c r="M13" s="14" t="str">
        <x:v>include</x:v>
      </x:c>
      <x:c r="N13" s="14" t="str">
        <x:v>Directly Rydberg + optical tweezers, but circular-state subfield should be tagged separately.</x:v>
      </x:c>
      <x:c r="O13" s="14" t="str">
        <x:v>Florian Meinert</x:v>
      </x:c>
      <x:c r="P13" s="14" t="str">
        <x:v>Florian Meinert</x:v>
      </x:c>
      <x:c r="Q13" s="14" t="str">
        <x:v>yes</x:v>
      </x:c>
      <x:c r="R13" s="14" t="str">
        <x:v>University of Stuttgart</x:v>
      </x:c>
      <x:c r="S13" s="14" t="str">
        <x:v>web cross-check</x:v>
      </x:c>
      <x:c r="T13" s="14" t="str">
        <x:v>University of Stuttgart</x:v>
      </x:c>
      <x:c r="U13" s="14"/>
      <x:c r="V13" s="14" t="str">
        <x:v>Stuttgart</x:v>
      </x:c>
      <x:c r="W13" s="14" t="str">
        <x:v>Germany</x:v>
      </x:c>
      <x:c r="X13" s="14" t="n">
        <x:v>48.7758</x:v>
      </x:c>
      <x:c r="Y13" s="14" t="n">
        <x:v>9.1829</x:v>
      </x:c>
      <x:c r="Z13" s="14" t="str">
        <x:v>E-028</x:v>
      </x:c>
      <x:c r="AA13" s="14" t="str">
        <x:v>matched_or_overlap</x:v>
      </x:c>
      <x:c r="AB13" s="14"/>
      <x:c r="AC13" s="14" t="str">
        <x:v>https://arxiv.org/abs/2401.10625</x:v>
      </x:c>
      <x:c r="AD13" s="14" t="str">
        <x:v>https://arxiv.org/pdf/2401.10625</x:v>
      </x:c>
      <x:c r="AE13" s="14"/>
      <x:c r="AF13" s="14" t="str">
        <x:v>A/B</x:v>
      </x:c>
      <x:c r="AG13" s="14" t="str">
        <x:v>Promote Stuttgart/QRydDemo-related row after checking current group status.</x:v>
      </x:c>
      <x:c r="AH13" s="53" t="b">
        <x:v>0</x:v>
      </x:c>
    </x:row>
    <x:row r="14" ht="15" hidden="0" customHeight="1">
      <x:c r="A14" s="14" t="str">
        <x:v>ARXIV-PI-0013</x:v>
      </x:c>
      <x:c r="B14" s="14" t="str">
        <x:v>Q-016</x:v>
      </x:c>
      <x:c r="C14" s="14" t="str">
        <x:v>arxiv pilot 2024-2026 theory/QEC</x:v>
      </x:c>
      <x:c r="D14" s="14" t="str">
        <x:v>2411.04664</x:v>
      </x:c>
      <x:c r="E14" s="14" t="str">
        <x:v>v5</x:v>
      </x:c>
      <x:c r="F14" s="14" t="str">
        <x:v>Taming Rydberg Decay with Measurement-based Quantum Computation</x:v>
      </x:c>
      <x:c r="G14" s="14" t="n">
        <x:v>2024</x:v>
      </x:c>
      <x:c r="H14" s="14" t="str">
        <x:v>2024-11-07</x:v>
      </x:c>
      <x:c r="I14" s="14" t="str">
        <x:v>2026-04-27</x:v>
      </x:c>
      <x:c r="J14" s="14" t="str">
        <x:v>quant-ph</x:v>
      </x:c>
      <x:c r="K14" s="14" t="str">
        <x:v>quant-ph</x:v>
      </x:c>
      <x:c r="L14" s="14" t="str">
        <x:v>Rydberg decay; neutral atom arrays; QEC; MBQC</x:v>
      </x:c>
      <x:c r="M14" s="14" t="str">
        <x:v>include</x:v>
      </x:c>
      <x:c r="N14" s="14" t="str">
        <x:v>Theory/QEC paper; important for mapping theoretical groups around neutral-atom error models.</x:v>
      </x:c>
      <x:c r="O14" s="14" t="str">
        <x:v>Jian-Wei Pan</x:v>
      </x:c>
      <x:c r="P14" s="14" t="str">
        <x:v>Jian-Wei Pan</x:v>
      </x:c>
      <x:c r="Q14" s="14" t="str">
        <x:v>yes</x:v>
      </x:c>
      <x:c r="R14" s="14" t="str">
        <x:v>University of Science and Technology of China</x:v>
      </x:c>
      <x:c r="S14" s="14" t="str">
        <x:v>arxiv / institutional publication page</x:v>
      </x:c>
      <x:c r="T14" s="14" t="str">
        <x:v>University of Science and Technology of China</x:v>
      </x:c>
      <x:c r="U14" s="14"/>
      <x:c r="V14" s="14" t="str">
        <x:v>Hefei</x:v>
      </x:c>
      <x:c r="W14" s="14" t="str">
        <x:v>China</x:v>
      </x:c>
      <x:c r="X14" s="14" t="n">
        <x:v>31.8206</x:v>
      </x:c>
      <x:c r="Y14" s="14" t="n">
        <x:v>117.2272</x:v>
      </x:c>
      <x:c r="Z14" s="14" t="str">
        <x:v>E-036</x:v>
      </x:c>
      <x:c r="AA14" s="14" t="str">
        <x:v>matched_or_candidate</x:v>
      </x:c>
      <x:c r="AB14" s="14"/>
      <x:c r="AC14" s="14" t="str">
        <x:v>https://arxiv.org/abs/2411.04664</x:v>
      </x:c>
      <x:c r="AD14" s="14" t="str">
        <x:v>https://arxiv.org/pdf/2411.04664</x:v>
      </x:c>
      <x:c r="AE14" s="14" t="str">
        <x:v>https://quantum.ustc.edu.cn/web/en/publications</x:v>
      </x:c>
      <x:c r="AF14" s="14" t="str">
        <x:v>B</x:v>
      </x:c>
      <x:c r="AG14" s="14" t="str">
        <x:v>QEC theory/software relevance; not necessarily optical tweezer hardware in this paper.</x:v>
      </x:c>
      <x:c r="AH14" s="53" t="b">
        <x:v>1</x:v>
      </x:c>
    </x:row>
    <x:row r="15" ht="15" hidden="0" customHeight="1">
      <x:c r="A15" s="14" t="str">
        <x:v>ARXIV-PI-0014</x:v>
      </x:c>
      <x:c r="B15" s="14" t="str">
        <x:v>Q-016</x:v>
      </x:c>
      <x:c r="C15" s="14" t="str">
        <x:v>arxiv pilot 2024-2026 theory/QEC</x:v>
      </x:c>
      <x:c r="D15" s="14" t="str">
        <x:v>2503.01649</x:v>
      </x:c>
      <x:c r="E15" s="14" t="str">
        <x:v>v1</x:v>
      </x:c>
      <x:c r="F15" s="14" t="str">
        <x:v>Locating Rydberg Decay Error in SWAP-Leakage Reduction Circuit for Neutral Atom QEC</x:v>
      </x:c>
      <x:c r="G15" s="14" t="n">
        <x:v>2025</x:v>
      </x:c>
      <x:c r="H15" s="14" t="str">
        <x:v>2025-03-03</x:v>
      </x:c>
      <x:c r="I15" s="14"/>
      <x:c r="J15" s="14" t="str">
        <x:v>quant-ph</x:v>
      </x:c>
      <x:c r="K15" s="14" t="str">
        <x:v>quant-ph</x:v>
      </x:c>
      <x:c r="L15" s="14" t="str">
        <x:v>Rydberg decay; leakage; neutral atom QEC; decoders</x:v>
      </x:c>
      <x:c r="M15" s="14" t="str">
        <x:v>include</x:v>
      </x:c>
      <x:c r="N15" s="14" t="str">
        <x:v>Theory/QEC paper; useful to map Chinese QEC/neutral-atom theory network.</x:v>
      </x:c>
      <x:c r="O15" s="14" t="str">
        <x:v>Jian-Wei Pan</x:v>
      </x:c>
      <x:c r="P15" s="14" t="str">
        <x:v>Jian-Wei Pan</x:v>
      </x:c>
      <x:c r="Q15" s="14" t="str">
        <x:v>yes</x:v>
      </x:c>
      <x:c r="R15" s="14" t="str">
        <x:v>University of Science and Technology of China</x:v>
      </x:c>
      <x:c r="S15" s="14" t="str">
        <x:v>arxiv / institutional publication page</x:v>
      </x:c>
      <x:c r="T15" s="14" t="str">
        <x:v>University of Science and Technology of China</x:v>
      </x:c>
      <x:c r="U15" s="14"/>
      <x:c r="V15" s="14" t="str">
        <x:v>Hefei</x:v>
      </x:c>
      <x:c r="W15" s="14" t="str">
        <x:v>China</x:v>
      </x:c>
      <x:c r="X15" s="14" t="n">
        <x:v>31.8206</x:v>
      </x:c>
      <x:c r="Y15" s="14" t="n">
        <x:v>117.2272</x:v>
      </x:c>
      <x:c r="Z15" s="14" t="str">
        <x:v>E-036</x:v>
      </x:c>
      <x:c r="AA15" s="14" t="str">
        <x:v>matched_or_candidate</x:v>
      </x:c>
      <x:c r="AB15" s="14"/>
      <x:c r="AC15" s="14" t="str">
        <x:v>https://arxiv.org/abs/2503.01649</x:v>
      </x:c>
      <x:c r="AD15" s="14" t="str">
        <x:v>https://arxiv.org/pdf/2503.01649</x:v>
      </x:c>
      <x:c r="AE15" s="14" t="str">
        <x:v>https://quantum.ustc.edu.cn/web/en/publications</x:v>
      </x:c>
      <x:c r="AF15" s="14" t="str">
        <x:v>B</x:v>
      </x:c>
      <x:c r="AG15" s="14" t="str">
        <x:v>Aggregate with 2411.04664 under USTC/Pan QEC cluster.</x:v>
      </x:c>
      <x:c r="AH15" s="53" t="b">
        <x:v>1</x:v>
      </x:c>
    </x:row>
    <x:row r="16" ht="15" hidden="0" customHeight="1">
      <x:c r="A16" s="14" t="str">
        <x:v>ARXIV-PI-0015</x:v>
      </x:c>
      <x:c r="B16" s="14" t="str">
        <x:v>Q-016</x:v>
      </x:c>
      <x:c r="C16" s="14" t="str">
        <x:v>arxiv pilot 2024-2026 theory/QEC</x:v>
      </x:c>
      <x:c r="D16" s="14" t="str">
        <x:v>2409.04324</x:v>
      </x:c>
      <x:c r="E16" s="14" t="str">
        <x:v>v1</x:v>
      </x:c>
      <x:c r="F16" s="14" t="str">
        <x:v>Geometrical Approach to Logical Qubit Fidelities of Neutral Atom CSS Codes</x:v>
      </x:c>
      <x:c r="G16" s="14" t="n">
        <x:v>2024</x:v>
      </x:c>
      <x:c r="H16" s="14" t="str">
        <x:v>2024-09-06</x:v>
      </x:c>
      <x:c r="I16" s="14"/>
      <x:c r="J16" s="14" t="str">
        <x:v>quant-ph</x:v>
      </x:c>
      <x:c r="K16" s="14" t="str">
        <x:v>quant-ph</x:v>
      </x:c>
      <x:c r="L16" s="14" t="str">
        <x:v>neutral atom CSS codes; Rydberg lifetime; correlated errors; QEC</x:v>
      </x:c>
      <x:c r="M16" s="14" t="str">
        <x:v>include</x:v>
      </x:c>
      <x:c r="N16" s="14" t="str">
        <x:v>Theory/QEC, strong connection to neutral-atom Rydberg errors.</x:v>
      </x:c>
      <x:c r="O16" s="14" t="str">
        <x:v>S. J. J. M. F. Kokkelmans</x:v>
      </x:c>
      <x:c r="P16" s="14" t="str">
        <x:v>Servaas Kokkelmans</x:v>
      </x:c>
      <x:c r="Q16" s="14" t="str">
        <x:v>yes</x:v>
      </x:c>
      <x:c r="R16" s="14" t="str">
        <x:v>Eindhoven University of Technology</x:v>
      </x:c>
      <x:c r="S16" s="14" t="str">
        <x:v>arxiv / existing DB candidate</x:v>
      </x:c>
      <x:c r="T16" s="14" t="str">
        <x:v>Eindhoven University of Technology</x:v>
      </x:c>
      <x:c r="U16" s="14"/>
      <x:c r="V16" s="14" t="str">
        <x:v>Eindhoven</x:v>
      </x:c>
      <x:c r="W16" s="14" t="str">
        <x:v>Netherlands</x:v>
      </x:c>
      <x:c r="X16" s="14" t="n">
        <x:v>51.4416</x:v>
      </x:c>
      <x:c r="Y16" s="14" t="n">
        <x:v>5.4697</x:v>
      </x:c>
      <x:c r="Z16" s="14" t="str">
        <x:v>E-018</x:v>
      </x:c>
      <x:c r="AA16" s="14" t="str">
        <x:v>matched_or_candidate</x:v>
      </x:c>
      <x:c r="AB16" s="14"/>
      <x:c r="AC16" s="14" t="str">
        <x:v>https://arxiv.org/abs/2409.04324</x:v>
      </x:c>
      <x:c r="AD16" s="14" t="str">
        <x:v>https://arxiv.org/pdf/2409.04324</x:v>
      </x:c>
      <x:c r="AE16" s="14"/>
      <x:c r="AF16" s="14" t="str">
        <x:v>B</x:v>
      </x:c>
      <x:c r="AG16" s="14" t="str">
        <x:v>Keep as theory/QEC node; not necessarily tweezer experimental group.</x:v>
      </x:c>
      <x:c r="AH16" s="53" t="b">
        <x:v>1</x:v>
      </x:c>
    </x:row>
    <x:row r="17" ht="15" hidden="0" customHeight="1">
      <x:c r="A17" s="14" t="str">
        <x:v>ARXIV-PI-0016</x:v>
      </x:c>
      <x:c r="B17" s="14" t="str">
        <x:v>Q-016</x:v>
      </x:c>
      <x:c r="C17" s="14" t="str">
        <x:v>arxiv pilot 2024-2026 theory/QEC</x:v>
      </x:c>
      <x:c r="D17" s="14" t="str">
        <x:v>2606.12030</x:v>
      </x:c>
      <x:c r="E17" s="14" t="str">
        <x:v>v1</x:v>
      </x:c>
      <x:c r="F17" s="14" t="str">
        <x:v>Measurement-Free Toric-Code Memory in Array Globally Controlled Rydberg Array</x:v>
      </x:c>
      <x:c r="G17" s="14" t="n">
        <x:v>2026</x:v>
      </x:c>
      <x:c r="H17" s="14" t="str">
        <x:v>2026-06-10</x:v>
      </x:c>
      <x:c r="I17" s="14"/>
      <x:c r="J17" s="14" t="str">
        <x:v>quant-ph</x:v>
      </x:c>
      <x:c r="K17" s="14" t="str">
        <x:v>quant-ph</x:v>
      </x:c>
      <x:c r="L17" s="14" t="str">
        <x:v>toric code; neutral-atom Rydberg arrays; QEC; global control</x:v>
      </x:c>
      <x:c r="M17" s="14" t="str">
        <x:v>include</x:v>
      </x:c>
      <x:c r="N17" s="14" t="str">
        <x:v>Theory/QEC paper; last author cluster with hologram/optimization papers.</x:v>
      </x:c>
      <x:c r="O17" s="14" t="str">
        <x:v>Jinguo Liu</x:v>
      </x:c>
      <x:c r="P17" s="14" t="str">
        <x:v>Jin-Guo Liu</x:v>
      </x:c>
      <x:c r="Q17" s="14" t="str">
        <x:v>yes</x:v>
      </x:c>
      <x:c r="R17" s="14" t="str">
        <x:v>Institution pending</x:v>
      </x:c>
      <x:c r="S17" s="14" t="str">
        <x:v>arxiv_only</x:v>
      </x:c>
      <x:c r="T17" s="14" t="str">
        <x:v>Institution pending</x:v>
      </x:c>
      <x:c r="U17" s="14"/>
      <x:c r="V17" s="14"/>
      <x:c r="W17" s="14"/>
      <x:c r="X17" s="14"/>
      <x:c r="Y17" s="14"/>
      <x:c r="Z17" s="14"/>
      <x:c r="AA17" s="14" t="str">
        <x:v>new_or_candidate</x:v>
      </x:c>
      <x:c r="AB17" s="14"/>
      <x:c r="AC17" s="14" t="str">
        <x:v>https://arxiv.org/abs/2606.12030</x:v>
      </x:c>
      <x:c r="AD17" s="14" t="str">
        <x:v>https://arxiv.org/pdf/2606.12030</x:v>
      </x:c>
      <x:c r="AE17" s="14"/>
      <x:c r="AF17" s="14" t="str">
        <x:v>B/C</x:v>
      </x:c>
      <x:c r="AG17" s="14" t="str">
        <x:v>Need affiliation normalization; likely theory/software/QEC node.</x:v>
      </x:c>
      <x:c r="AH17" s="53" t="b">
        <x:v>1</x:v>
      </x:c>
    </x:row>
    <x:row r="18" ht="15" hidden="0" customHeight="1">
      <x:c r="A18" s="14" t="str">
        <x:v>ARXIV-PI-0017</x:v>
      </x:c>
      <x:c r="B18" s="14" t="str">
        <x:v>Q-017</x:v>
      </x:c>
      <x:c r="C18" s="14" t="str">
        <x:v>arxiv pilot 2024-2026 tooling/control</x:v>
      </x:c>
      <x:c r="D18" s="14" t="str">
        <x:v>2604.04600</x:v>
      </x:c>
      <x:c r="E18" s="14" t="str">
        <x:v>v1</x:v>
      </x:c>
      <x:c r="F18" s="14" t="str">
        <x:v>Phase-Stable Hologram Updates for Large-Scale Neutral-Atom Array Reconfiguration</x:v>
      </x:c>
      <x:c r="G18" s="14" t="n">
        <x:v>2026</x:v>
      </x:c>
      <x:c r="H18" s="14" t="str">
        <x:v>2026-04-06</x:v>
      </x:c>
      <x:c r="I18" s="14"/>
      <x:c r="J18" s="14" t="str">
        <x:v>quant-ph</x:v>
      </x:c>
      <x:c r="K18" s="14" t="str">
        <x:v>quant-ph; physics.atom-ph</x:v>
      </x:c>
      <x:c r="L18" s="14" t="str">
        <x:v>Rydberg atom arrays; optical tweezers; holograms; reconfiguration</x:v>
      </x:c>
      <x:c r="M18" s="14" t="str">
        <x:v>include</x:v>
      </x:c>
      <x:c r="N18" s="14" t="str">
        <x:v>Tooling/control paper for scalable tweezer arrays; not a physics group by itself but maps algorithmic contributors.</x:v>
      </x:c>
      <x:c r="O18" s="14" t="str">
        <x:v>Jin-Guo Liu</x:v>
      </x:c>
      <x:c r="P18" s="14" t="str">
        <x:v>Jin-Guo Liu</x:v>
      </x:c>
      <x:c r="Q18" s="14" t="str">
        <x:v>yes</x:v>
      </x:c>
      <x:c r="R18" s="14" t="str">
        <x:v>Institution pending</x:v>
      </x:c>
      <x:c r="S18" s="14" t="str">
        <x:v>arxiv_only</x:v>
      </x:c>
      <x:c r="T18" s="14" t="str">
        <x:v>Institution pending</x:v>
      </x:c>
      <x:c r="U18" s="14"/>
      <x:c r="V18" s="14"/>
      <x:c r="W18" s="14"/>
      <x:c r="X18" s="14"/>
      <x:c r="Y18" s="14"/>
      <x:c r="Z18" s="14"/>
      <x:c r="AA18" s="14" t="str">
        <x:v>new_or_candidate</x:v>
      </x:c>
      <x:c r="AB18" s="14"/>
      <x:c r="AC18" s="14" t="str">
        <x:v>https://arxiv.org/abs/2604.04600</x:v>
      </x:c>
      <x:c r="AD18" s="14" t="str">
        <x:v>https://arxiv.org/pdf/2604.04600</x:v>
      </x:c>
      <x:c r="AE18" s="14"/>
      <x:c r="AF18" s="14" t="str">
        <x:v>B/C</x:v>
      </x:c>
      <x:c r="AG18" s="14" t="str">
        <x:v>Group likely important for control/tooling layer. Needs affiliation.</x:v>
      </x:c>
      <x:c r="AH18" s="53" t="b">
        <x:v>1</x:v>
      </x:c>
    </x:row>
    <x:row r="19" ht="15" hidden="0" customHeight="1">
      <x:c r="A19" s="14" t="str">
        <x:v>ARXIV-PI-0018</x:v>
      </x:c>
      <x:c r="B19" s="14" t="str">
        <x:v>Q-017</x:v>
      </x:c>
      <x:c r="C19" s="14" t="str">
        <x:v>arxiv pilot 2024-2026 theory/control</x:v>
      </x:c>
      <x:c r="D19" s="14" t="str">
        <x:v>2412.12019</x:v>
      </x:c>
      <x:c r="E19" s="14" t="str">
        <x:v>v2</x:v>
      </x:c>
      <x:c r="F19" s="14" t="str">
        <x:v>Learning interactions between Rydberg atoms</x:v>
      </x:c>
      <x:c r="G19" s="14" t="n">
        <x:v>2024</x:v>
      </x:c>
      <x:c r="H19" s="14" t="str">
        <x:v>2024-12-16</x:v>
      </x:c>
      <x:c r="I19" s="14"/>
      <x:c r="J19" s="14" t="str">
        <x:v>quant-ph</x:v>
      </x:c>
      <x:c r="K19" s="14" t="str">
        <x:v>quant-ph</x:v>
      </x:c>
      <x:c r="L19" s="14" t="str">
        <x:v>Rydberg atom arrays; optical tweezer position errors; Hamiltonian learning; GNN</x:v>
      </x:c>
      <x:c r="M19" s="14" t="str">
        <x:v>include</x:v>
      </x:c>
      <x:c r="N19" s="14" t="str">
        <x:v>Theory/control paper; relevant for calibration/learning layer.</x:v>
      </x:c>
      <x:c r="O19" s="14" t="str">
        <x:v>Unknown from search snippet</x:v>
      </x:c>
      <x:c r="P19" s="14" t="str">
        <x:v>Unknown</x:v>
      </x:c>
      <x:c r="Q19" s="14" t="str">
        <x:v>unclear</x:v>
      </x:c>
      <x:c r="R19" s="14" t="str">
        <x:v>Institution pending</x:v>
      </x:c>
      <x:c r="S19" s="14" t="str">
        <x:v>arxiv_only</x:v>
      </x:c>
      <x:c r="T19" s="14" t="str">
        <x:v>Institution pending</x:v>
      </x:c>
      <x:c r="U19" s="14"/>
      <x:c r="V19" s="14"/>
      <x:c r="W19" s="14"/>
      <x:c r="X19" s="14"/>
      <x:c r="Y19" s="14"/>
      <x:c r="Z19" s="14"/>
      <x:c r="AA19" s="14" t="str">
        <x:v>new_or_candidate</x:v>
      </x:c>
      <x:c r="AB19" s="14"/>
      <x:c r="AC19" s="14" t="str">
        <x:v>https://arxiv.org/abs/2412.12019</x:v>
      </x:c>
      <x:c r="AD19" s="14" t="str">
        <x:v>https://arxiv.org/pdf/2412.12019</x:v>
      </x:c>
      <x:c r="AE19" s="14"/>
      <x:c r="AF19" s="14" t="str">
        <x:v>B/C</x:v>
      </x:c>
      <x:c r="AG19" s="14" t="str">
        <x:v>Need PDF/OpenAlex extraction for last author and affiliation.</x:v>
      </x:c>
      <x:c r="AH19" s="53" t="b">
        <x:v>1</x:v>
      </x:c>
    </x:row>
    <x:row r="20" ht="15" hidden="0" customHeight="1">
      <x:c r="A20" s="14" t="str">
        <x:v>ARXIV-PI-0019</x:v>
      </x:c>
      <x:c r="B20" s="14" t="str">
        <x:v>Q-017</x:v>
      </x:c>
      <x:c r="C20" s="14" t="str">
        <x:v>arxiv pilot 2024-2026 theory/simulation</x:v>
      </x:c>
      <x:c r="D20" s="14" t="str">
        <x:v>2507.16751</x:v>
      </x:c>
      <x:c r="E20" s="14" t="str">
        <x:v>v1</x:v>
      </x:c>
      <x:c r="F20" s="14" t="str">
        <x:v>Many-Body Physics from Spin-Phonon Coupling in Rydberg Atom Arrays</x:v>
      </x:c>
      <x:c r="G20" s="14" t="n">
        <x:v>2025</x:v>
      </x:c>
      <x:c r="H20" s="14" t="str">
        <x:v>2025-07-22</x:v>
      </x:c>
      <x:c r="I20" s="14"/>
      <x:c r="J20" s="14" t="str">
        <x:v>cond-mat.quant-gas</x:v>
      </x:c>
      <x:c r="K20" s="14" t="str">
        <x:v>cond-mat.quant-gas; quant-ph</x:v>
      </x:c>
      <x:c r="L20" s="14" t="str">
        <x:v>spin-phonon coupling; Rydberg atom arrays; optical tweezers</x:v>
      </x:c>
      <x:c r="M20" s="14" t="str">
        <x:v>include</x:v>
      </x:c>
      <x:c r="N20" s="14" t="str">
        <x:v>Theory paper; relevant because it explicitly models vibrations in optical tweezers.</x:v>
      </x:c>
      <x:c r="O20" s="14" t="str">
        <x:v>Pengfei Zhang</x:v>
      </x:c>
      <x:c r="P20" s="14" t="str">
        <x:v>Pengfei Zhang</x:v>
      </x:c>
      <x:c r="Q20" s="14" t="str">
        <x:v>yes</x:v>
      </x:c>
      <x:c r="R20" s="14" t="str">
        <x:v>Institution pending</x:v>
      </x:c>
      <x:c r="S20" s="14" t="str">
        <x:v>arxiv_only</x:v>
      </x:c>
      <x:c r="T20" s="14" t="str">
        <x:v>Institution pending</x:v>
      </x:c>
      <x:c r="U20" s="14"/>
      <x:c r="V20" s="14"/>
      <x:c r="W20" s="14"/>
      <x:c r="X20" s="14"/>
      <x:c r="Y20" s="14"/>
      <x:c r="Z20" s="14"/>
      <x:c r="AA20" s="14" t="str">
        <x:v>new_or_candidate</x:v>
      </x:c>
      <x:c r="AB20" s="14"/>
      <x:c r="AC20" s="14" t="str">
        <x:v>https://arxiv.org/abs/2507.16751</x:v>
      </x:c>
      <x:c r="AD20" s="14" t="str">
        <x:v>https://arxiv.org/pdf/2507.16751</x:v>
      </x:c>
      <x:c r="AE20" s="14"/>
      <x:c r="AF20" s="14" t="str">
        <x:v>B/C</x:v>
      </x:c>
      <x:c r="AG20" s="14" t="str">
        <x:v>Need affiliation extraction from PDF/OpenAlex.</x:v>
      </x:c>
      <x:c r="AH20" s="53" t="b">
        <x:v>1</x:v>
      </x:c>
    </x:row>
    <x:row r="21" ht="15" hidden="0" customHeight="1">
      <x:c r="A21" s="14" t="str">
        <x:v>ARXIV-PI-0020</x:v>
      </x:c>
      <x:c r="B21" s="14" t="str">
        <x:v>Q-017</x:v>
      </x:c>
      <x:c r="C21" s="14" t="str">
        <x:v>arxiv pilot 2024-2026 theory/control</x:v>
      </x:c>
      <x:c r="D21" s="14" t="str">
        <x:v>2504.19214</x:v>
      </x:c>
      <x:c r="E21" s="14" t="str">
        <x:v>v1</x:v>
      </x:c>
      <x:c r="F21" s="14" t="str">
        <x:v>Rapid passage to ordered states in Rydberg atom arrays</x:v>
      </x:c>
      <x:c r="G21" s="14" t="n">
        <x:v>2025</x:v>
      </x:c>
      <x:c r="H21" s="14" t="str">
        <x:v>2025-04-27</x:v>
      </x:c>
      <x:c r="I21" s="14"/>
      <x:c r="J21" s="14" t="str">
        <x:v>quant-ph</x:v>
      </x:c>
      <x:c r="K21" s="14" t="str">
        <x:v>quant-ph; cond-mat.quant-gas</x:v>
      </x:c>
      <x:c r="L21" s="14" t="str">
        <x:v>ordered states; Rydberg atom arrays; optical tweezers; Aquila validation</x:v>
      </x:c>
      <x:c r="M21" s="14" t="str">
        <x:v>include</x:v>
      </x:c>
      <x:c r="N21" s="14" t="str">
        <x:v>Theory/control paper; validates on QuEra Aquila, useful for theory/mixed layer.</x:v>
      </x:c>
      <x:c r="O21" s="14" t="str">
        <x:v>Heng Shen</x:v>
      </x:c>
      <x:c r="P21" s="14" t="str">
        <x:v>Heng Shen</x:v>
      </x:c>
      <x:c r="Q21" s="14" t="str">
        <x:v>yes</x:v>
      </x:c>
      <x:c r="R21" s="14" t="str">
        <x:v>Institution pending</x:v>
      </x:c>
      <x:c r="S21" s="14" t="str">
        <x:v>arxiv_only</x:v>
      </x:c>
      <x:c r="T21" s="14" t="str">
        <x:v>Institution pending</x:v>
      </x:c>
      <x:c r="U21" s="14"/>
      <x:c r="V21" s="14"/>
      <x:c r="W21" s="14"/>
      <x:c r="X21" s="14"/>
      <x:c r="Y21" s="14"/>
      <x:c r="Z21" s="14"/>
      <x:c r="AA21" s="14" t="str">
        <x:v>new_or_candidate</x:v>
      </x:c>
      <x:c r="AB21" s="14"/>
      <x:c r="AC21" s="14" t="str">
        <x:v>https://arxiv.org/abs/2504.19214</x:v>
      </x:c>
      <x:c r="AD21" s="14" t="str">
        <x:v>https://arxiv.org/pdf/2504.19214</x:v>
      </x:c>
      <x:c r="AE21" s="14"/>
      <x:c r="AF21" s="14" t="str">
        <x:v>B/C</x:v>
      </x:c>
      <x:c r="AG21" s="14" t="str">
        <x:v>Need affiliation extraction; potential theory/mixed group.</x:v>
      </x:c>
      <x:c r="AH21" s="53" t="b">
        <x:v>1</x:v>
      </x:c>
    </x:row>
    <x:row r="22" ht="15" hidden="0" customHeight="1">
      <x:c r="A22" s="14" t="str">
        <x:v>ARXIV-PI-0021</x:v>
      </x:c>
      <x:c r="B22" s="14" t="str">
        <x:v>Q-017</x:v>
      </x:c>
      <x:c r="C22" s="14" t="str">
        <x:v>arxiv pilot 2024-2026 theory/gates</x:v>
      </x:c>
      <x:c r="D22" s="14" t="str">
        <x:v>2408.16274</x:v>
      </x:c>
      <x:c r="E22" s="14" t="str">
        <x:v>v1</x:v>
      </x:c>
      <x:c r="F22" s="14" t="str">
        <x:v>High-fidelity and robust controlled-Z gates implemented with Rydberg atoms via echoing rapid adiabatic passage</x:v>
      </x:c>
      <x:c r="G22" s="14" t="n">
        <x:v>2024</x:v>
      </x:c>
      <x:c r="H22" s="14" t="str">
        <x:v>2024-08-29</x:v>
      </x:c>
      <x:c r="I22" s="14"/>
      <x:c r="J22" s="14" t="str">
        <x:v>quant-ph</x:v>
      </x:c>
      <x:c r="K22" s="14" t="str">
        <x:v>quant-ph</x:v>
      </x:c>
      <x:c r="L22" s="14" t="str">
        <x:v>Rydberg atoms; optical tweezer arrays; CZ gate; RAP</x:v>
      </x:c>
      <x:c r="M22" s="14" t="str">
        <x:v>include</x:v>
      </x:c>
      <x:c r="N22" s="14" t="str">
        <x:v>Theory gate proposal; relevant but generic platform-level paper.</x:v>
      </x:c>
      <x:c r="O22" s="14" t="str">
        <x:v>Xiangliang Li</x:v>
      </x:c>
      <x:c r="P22" s="14" t="str">
        <x:v>Xiangliang Li</x:v>
      </x:c>
      <x:c r="Q22" s="14" t="str">
        <x:v>yes</x:v>
      </x:c>
      <x:c r="R22" s="14" t="str">
        <x:v>Institution pending</x:v>
      </x:c>
      <x:c r="S22" s="14" t="str">
        <x:v>arxiv_only</x:v>
      </x:c>
      <x:c r="T22" s="14" t="str">
        <x:v>Institution pending</x:v>
      </x:c>
      <x:c r="U22" s="14"/>
      <x:c r="V22" s="14"/>
      <x:c r="W22" s="14"/>
      <x:c r="X22" s="14"/>
      <x:c r="Y22" s="14"/>
      <x:c r="Z22" s="14"/>
      <x:c r="AA22" s="14" t="str">
        <x:v>new_or_candidate</x:v>
      </x:c>
      <x:c r="AB22" s="14"/>
      <x:c r="AC22" s="14" t="str">
        <x:v>https://arxiv.org/abs/2408.16274</x:v>
      </x:c>
      <x:c r="AD22" s="14" t="str">
        <x:v>https://arxiv.org/pdf/2408.16274</x:v>
      </x:c>
      <x:c r="AE22" s="14"/>
      <x:c r="AF22" s="14" t="str">
        <x:v>C</x:v>
      </x:c>
      <x:c r="AG22" s="14" t="str">
        <x:v>Needs affiliation and relevance check; may be kept as theory-only node.</x:v>
      </x:c>
      <x:c r="AH22" s="53" t="b">
        <x:v>1</x:v>
      </x:c>
    </x:row>
    <x:row r="23" ht="15" hidden="0" customHeight="1">
      <x:c r="A23" s="14" t="str">
        <x:v>ARXIV-PI-0022</x:v>
      </x:c>
      <x:c r="B23" s="14" t="str">
        <x:v>Q-013</x:v>
      </x:c>
      <x:c r="C23" s="14" t="str">
        <x:v>arxiv pilot 2024-2026 core/scale-up</x:v>
      </x:c>
      <x:c r="D23" s="14" t="str">
        <x:v>2512.19795</x:v>
      </x:c>
      <x:c r="E23" s="14" t="str">
        <x:v>v1</x:v>
      </x:c>
      <x:c r="F23" s="14" t="str">
        <x:v>High-efficiency loading of 2,400 Ytterbium atoms in optical tweezer arrays</x:v>
      </x:c>
      <x:c r="G23" s="14" t="n">
        <x:v>2025</x:v>
      </x:c>
      <x:c r="H23" s="14" t="str">
        <x:v>2025-12-22</x:v>
      </x:c>
      <x:c r="I23" s="14"/>
      <x:c r="J23" s="14" t="str">
        <x:v>quant-ph</x:v>
      </x:c>
      <x:c r="K23" s="14" t="str">
        <x:v>quant-ph; physics.atom-ph; physics.app-ph; physics.optics</x:v>
      </x:c>
      <x:c r="L23" s="14" t="str">
        <x:v>Yb; optical tweezer arrays; high loading; Rydberg gates prospects</x:v>
      </x:c>
      <x:c r="M23" s="14" t="str">
        <x:v>include</x:v>
      </x:c>
      <x:c r="N23" s="14" t="str">
        <x:v>Core/adjacent experimental scale-up paper; Rydberg gates discussed as motivation/prospects.</x:v>
      </x:c>
      <x:c r="O23" s="14" t="str">
        <x:v>Pai Peng</x:v>
      </x:c>
      <x:c r="P23" s="14" t="str">
        <x:v>Pai Peng</x:v>
      </x:c>
      <x:c r="Q23" s="14" t="str">
        <x:v>yes</x:v>
      </x:c>
      <x:c r="R23" s="14" t="str">
        <x:v>Institution pending; likely China-based Yb array group</x:v>
      </x:c>
      <x:c r="S23" s="14" t="str">
        <x:v>arxiv_only</x:v>
      </x:c>
      <x:c r="T23" s="14" t="str">
        <x:v>Institution pending</x:v>
      </x:c>
      <x:c r="U23" s="14"/>
      <x:c r="V23" s="14"/>
      <x:c r="W23" s="14" t="str">
        <x:v>China</x:v>
      </x:c>
      <x:c r="X23" s="14"/>
      <x:c r="Y23" s="14"/>
      <x:c r="Z23" s="14"/>
      <x:c r="AA23" s="14" t="str">
        <x:v>new_or_candidate</x:v>
      </x:c>
      <x:c r="AB23" s="14"/>
      <x:c r="AC23" s="14" t="str">
        <x:v>https://arxiv.org/abs/2512.19795</x:v>
      </x:c>
      <x:c r="AD23" s="14" t="str">
        <x:v>https://arxiv.org/pdf/2512.19795</x:v>
      </x:c>
      <x:c r="AE23" s="14"/>
      <x:c r="AF23" s="14" t="str">
        <x:v>B</x:v>
      </x:c>
      <x:c r="AG23" s="14" t="str">
        <x:v>Need affiliation normalization; promising new Yb tweezer-array node.</x:v>
      </x:c>
      <x:c r="AH23" s="53" t="b">
        <x:v>1</x:v>
      </x:c>
    </x:row>
    <x:row r="24">
      <x:c r="A24" s="14" t="str">
        <x:v>ARXIV-PI-0023</x:v>
      </x:c>
      <x:c r="B24" s="14" t="str">
        <x:v>Q-018</x:v>
      </x:c>
      <x:c r="C24" s="14" t="str">
        <x:v>arxiv systematic pass v0.8 / scale-up experimental</x:v>
      </x:c>
      <x:c r="D24" s="14" t="str">
        <x:v>2403.12021</x:v>
      </x:c>
      <x:c r="E24" s="14" t="str">
        <x:v>v4</x:v>
      </x:c>
      <x:c r="F24" s="14" t="str">
        <x:v>A tweezer array with 6100 highly coherent atomic qubits</x:v>
      </x:c>
      <x:c r="G24" s="14" t="n">
        <x:v>2024</x:v>
      </x:c>
      <x:c r="H24" s="14" t="str">
        <x:v>2024-03-18</x:v>
      </x:c>
      <x:c r="I24" s="14"/>
      <x:c r="J24" s="14" t="str">
        <x:v>quant-ph</x:v>
      </x:c>
      <x:c r="K24" s="14" t="str">
        <x:v>quant-ph; cond-mat.quant-gas; physics.atom-ph</x:v>
      </x:c>
      <x:c r="L24" s="14" t="str">
        <x:v>optical tweezers; neutral atoms; scale-up; QEC readiness</x:v>
      </x:c>
      <x:c r="M24" s="14" t="str">
        <x:v>include</x:v>
      </x:c>
      <x:c r="N24" s="14" t="str">
        <x:v>Large-scale optical tweezer array; no direct Rydberg gate in the title, but highly relevant for neutral-atom processor ecosystem.</x:v>
      </x:c>
      <x:c r="O24" s="14" t="str">
        <x:v>Manuel Endres</x:v>
      </x:c>
      <x:c r="P24" s="14" t="str">
        <x:v>Manuel Endres</x:v>
      </x:c>
      <x:c r="Q24" s="14" t="str">
        <x:v>yes</x:v>
      </x:c>
      <x:c r="R24" s="14" t="str">
        <x:v>California Institute of Technology</x:v>
      </x:c>
      <x:c r="S24" s="14" t="str">
        <x:v>matched_existing_database</x:v>
      </x:c>
      <x:c r="T24" s="14" t="str">
        <x:v>California Institute of Technology</x:v>
      </x:c>
      <x:c r="U24" s="14"/>
      <x:c r="V24" s="14" t="str">
        <x:v>Pasadena</x:v>
      </x:c>
      <x:c r="W24" s="14" t="str">
        <x:v>United States</x:v>
      </x:c>
      <x:c r="X24" s="14" t="n">
        <x:v>34.1377</x:v>
      </x:c>
      <x:c r="Y24" s="14" t="n">
        <x:v>-118.1253</x:v>
      </x:c>
      <x:c r="Z24" s="14" t="str">
        <x:v>E-004</x:v>
      </x:c>
      <x:c r="AA24" s="14" t="str">
        <x:v>matched</x:v>
      </x:c>
      <x:c r="AB24" s="14"/>
      <x:c r="AC24" s="14" t="str">
        <x:v>https://arxiv.org/abs/2403.12021</x:v>
      </x:c>
      <x:c r="AD24" s="14" t="str">
        <x:v>https://arxiv.org/pdf/2403.12021</x:v>
      </x:c>
      <x:c r="AE24" s="14"/>
      <x:c r="AF24" s="14" t="str">
        <x:v>A/B</x:v>
      </x:c>
      <x:c r="AG24" s="14" t="str">
        <x:v>Add as scale-up row; useful for hardware geography and QEC infrastructure.</x:v>
      </x:c>
      <x:c r="AH24" s="53" t="b">
        <x:v>0</x:v>
      </x:c>
    </x:row>
    <x:row r="25">
      <x:c r="A25" s="14" t="str">
        <x:v>ARXIV-PI-0024</x:v>
      </x:c>
      <x:c r="B25" s="14" t="str">
        <x:v>Q-016</x:v>
      </x:c>
      <x:c r="C25" s="14" t="str">
        <x:v>arxiv systematic pass v0.8 / QEC experimental</x:v>
      </x:c>
      <x:c r="D25" s="14" t="str">
        <x:v>2603.01612</x:v>
      </x:c>
      <x:c r="E25" s="14" t="str">
        <x:v>v1</x:v>
      </x:c>
      <x:c r="F25" s="14" t="str">
        <x:v>Sustaining high-fidelity quantum logic in neutral-atom circuits via mid-circuit operations</x:v>
      </x:c>
      <x:c r="G25" s="14" t="n">
        <x:v>2026</x:v>
      </x:c>
      <x:c r="H25" s="14" t="str">
        <x:v>2026-03-02</x:v>
      </x:c>
      <x:c r="I25" s="14"/>
      <x:c r="J25" s="14" t="str">
        <x:v>quant-ph</x:v>
      </x:c>
      <x:c r="K25" s="14" t="str">
        <x:v>quant-ph; physics.atom-ph</x:v>
      </x:c>
      <x:c r="L25" s="14" t="str">
        <x:v>neutral atom circuits; mid-circuit operations; Rydberg gates; QEC</x:v>
      </x:c>
      <x:c r="M25" s="14" t="str">
        <x:v>include</x:v>
      </x:c>
      <x:c r="N25" s="14" t="str">
        <x:v>Experimental neutral-atom/QEC-enabling result; likely USTC/Pan ecosystem, needs full affiliation normalization.</x:v>
      </x:c>
      <x:c r="O25" s="14" t="str">
        <x:v>Jian-Wei Pan</x:v>
      </x:c>
      <x:c r="P25" s="14" t="str">
        <x:v>Jian-Wei Pan</x:v>
      </x:c>
      <x:c r="Q25" s="14" t="str">
        <x:v>yes</x:v>
      </x:c>
      <x:c r="R25" s="14" t="str">
        <x:v>University of Science and Technology of China</x:v>
      </x:c>
      <x:c r="S25" s="14" t="str">
        <x:v>arxiv_html</x:v>
      </x:c>
      <x:c r="T25" s="14" t="str">
        <x:v>University of Science and Technology of China</x:v>
      </x:c>
      <x:c r="U25" s="14"/>
      <x:c r="V25" s="14" t="str">
        <x:v>Hefei</x:v>
      </x:c>
      <x:c r="W25" s="14" t="str">
        <x:v>China</x:v>
      </x:c>
      <x:c r="X25" s="14" t="n">
        <x:v>31.8206</x:v>
      </x:c>
      <x:c r="Y25" s="14" t="n">
        <x:v>117.2272</x:v>
      </x:c>
      <x:c r="Z25" s="14" t="str">
        <x:v>E-036</x:v>
      </x:c>
      <x:c r="AA25" s="14" t="str">
        <x:v>matched</x:v>
      </x:c>
      <x:c r="AB25" s="14"/>
      <x:c r="AC25" s="14" t="str">
        <x:v>https://arxiv.org/abs/2603.01612</x:v>
      </x:c>
      <x:c r="AD25" s="14" t="str">
        <x:v>https://arxiv.org/pdf/2603.01612</x:v>
      </x:c>
      <x:c r="AE25" s="14"/>
      <x:c r="AF25" s="14" t="str">
        <x:v>A/B</x:v>
      </x:c>
      <x:c r="AG25" s="14" t="str">
        <x:v>Potentially promotes/strengthens USTC neutral-atom array node.</x:v>
      </x:c>
      <x:c r="AH25" s="53" t="b">
        <x:v>0</x:v>
      </x:c>
    </x:row>
    <x:row r="26">
      <x:c r="A26" s="14" t="str">
        <x:v>ARXIV-PI-0025</x:v>
      </x:c>
      <x:c r="B26" s="14" t="str">
        <x:v>Q-016</x:v>
      </x:c>
      <x:c r="C26" s="14" t="str">
        <x:v>arxiv systematic pass v0.8 / QEC theory</x:v>
      </x:c>
      <x:c r="D26" s="14" t="str">
        <x:v>2507.06096</x:v>
      </x:c>
      <x:c r="E26" s="14" t="str">
        <x:v>v1</x:v>
      </x:c>
      <x:c r="F26" s="14" t="str">
        <x:v>Low-depth quantum error correction via three-qubit gates in Rydberg atom arrays</x:v>
      </x:c>
      <x:c r="G26" s="14" t="n">
        <x:v>2025</x:v>
      </x:c>
      <x:c r="H26" s="14" t="str">
        <x:v>2025-07-08</x:v>
      </x:c>
      <x:c r="I26" s="14"/>
      <x:c r="J26" s="14" t="str">
        <x:v>quant-ph</x:v>
      </x:c>
      <x:c r="K26" s="14" t="str">
        <x:v>quant-ph</x:v>
      </x:c>
      <x:c r="L26" s="14" t="str">
        <x:v>Rydberg atom arrays; QEC; multiqubit gates; theory</x:v>
      </x:c>
      <x:c r="M26" s="14" t="str">
        <x:v>include</x:v>
      </x:c>
      <x:c r="N26" s="14" t="str">
        <x:v>Direct theory/QEC paper for Rydberg atom arrays; useful PI/theory node.</x:v>
      </x:c>
      <x:c r="O26" s="14" t="str">
        <x:v>Guido Pupillo</x:v>
      </x:c>
      <x:c r="P26" s="14" t="str">
        <x:v>Guido Pupillo</x:v>
      </x:c>
      <x:c r="Q26" s="14" t="str">
        <x:v>yes</x:v>
      </x:c>
      <x:c r="R26" s="14" t="str">
        <x:v>University of Strasbourg / CNRS, manual check</x:v>
      </x:c>
      <x:c r="S26" s="14" t="str">
        <x:v>arxiv_only</x:v>
      </x:c>
      <x:c r="T26" s="14" t="str">
        <x:v>Institution pending</x:v>
      </x:c>
      <x:c r="U26" s="14"/>
      <x:c r="V26" s="14"/>
      <x:c r="W26" s="14"/>
      <x:c r="X26" s="14"/>
      <x:c r="Y26" s="14"/>
      <x:c r="Z26" s="14"/>
      <x:c r="AA26" s="14" t="str">
        <x:v>new</x:v>
      </x:c>
      <x:c r="AB26" s="14"/>
      <x:c r="AC26" s="14" t="str">
        <x:v>https://arxiv.org/abs/2507.06096</x:v>
      </x:c>
      <x:c r="AD26" s="14" t="str">
        <x:v>https://arxiv.org/pdf/2507.06096</x:v>
      </x:c>
      <x:c r="AE26" s="14"/>
      <x:c r="AF26" s="14" t="str">
        <x:v>B</x:v>
      </x:c>
      <x:c r="AG26" s="14" t="str">
        <x:v>Affiliation and ROR need normalization; likely Strasbourg/CNRS ecosystem.</x:v>
      </x:c>
      <x:c r="AH26" s="53" t="b">
        <x:v>1</x:v>
      </x:c>
    </x:row>
    <x:row r="27">
      <x:c r="A27" s="14" t="str">
        <x:v>ARXIV-PI-0026</x:v>
      </x:c>
      <x:c r="B27" s="14" t="str">
        <x:v>Q-016</x:v>
      </x:c>
      <x:c r="C27" s="14" t="str">
        <x:v>arxiv systematic pass v0.8 / architecture theory</x:v>
      </x:c>
      <x:c r="D27" s="14" t="str">
        <x:v>2603.15561</x:v>
      </x:c>
      <x:c r="E27" s="14" t="str">
        <x:v>v1</x:v>
      </x:c>
      <x:c r="F27" s="14" t="str">
        <x:v>Velocity-Enabled Quantum Computing with Neutral Atoms</x:v>
      </x:c>
      <x:c r="G27" s="14" t="n">
        <x:v>2026</x:v>
      </x:c>
      <x:c r="H27" s="14" t="str">
        <x:v>2026-03-16</x:v>
      </x:c>
      <x:c r="I27" s="14"/>
      <x:c r="J27" s="14" t="str">
        <x:v>quant-ph</x:v>
      </x:c>
      <x:c r="K27" s="14" t="str">
        <x:v>quant-ph</x:v>
      </x:c>
      <x:c r="L27" s="14" t="str">
        <x:v>neutral atoms; velocity; architecture; QEC</x:v>
      </x:c>
      <x:c r="M27" s="14" t="str">
        <x:v>include</x:v>
      </x:c>
      <x:c r="N27" s="14" t="str">
        <x:v>Architecture/control paper; relevant to neutral-atom processor workflows, but Rydberg/tweezer details require manual check.</x:v>
      </x:c>
      <x:c r="O27" s="14" t="str">
        <x:v>Unknown</x:v>
      </x:c>
      <x:c r="P27" s="14" t="str">
        <x:v>Unknown</x:v>
      </x:c>
      <x:c r="Q27" s="14" t="str">
        <x:v>unclear</x:v>
      </x:c>
      <x:c r="R27" s="14" t="str">
        <x:v>Institution pending</x:v>
      </x:c>
      <x:c r="S27" s="14" t="str">
        <x:v>arxiv_search_result_only</x:v>
      </x:c>
      <x:c r="T27" s="14" t="str">
        <x:v>Institution pending</x:v>
      </x:c>
      <x:c r="U27" s="14"/>
      <x:c r="V27" s="14"/>
      <x:c r="W27" s="14"/>
      <x:c r="X27" s="14"/>
      <x:c r="Y27" s="14"/>
      <x:c r="Z27" s="14"/>
      <x:c r="AA27" s="14" t="str">
        <x:v>new</x:v>
      </x:c>
      <x:c r="AB27" s="14"/>
      <x:c r="AC27" s="14" t="str">
        <x:v>https://arxiv.org/abs/2603.15561</x:v>
      </x:c>
      <x:c r="AD27" s="14" t="str">
        <x:v>https://arxiv.org/pdf/2603.15561</x:v>
      </x:c>
      <x:c r="AE27" s="14"/>
      <x:c r="AF27" s="14" t="str">
        <x:v>C</x:v>
      </x:c>
      <x:c r="AG27" s="14" t="str">
        <x:v>Keep in PI map but do not promote until authors/affiliations are extracted from PDF.</x:v>
      </x:c>
      <x:c r="AH27" s="53" t="b">
        <x:v>1</x:v>
      </x:c>
    </x:row>
    <x:row r="28">
      <x:c r="A28" s="14" t="str">
        <x:v>ARXIV-PI-0027</x:v>
      </x:c>
      <x:c r="B28" s="14" t="str">
        <x:v>Q-008</x:v>
      </x:c>
      <x:c r="C28" s="14" t="str">
        <x:v>arxiv systematic pass v0.8 / compiler software</x:v>
      </x:c>
      <x:c r="D28" s="14" t="str">
        <x:v>2605.29964</x:v>
      </x:c>
      <x:c r="E28" s="14" t="str">
        <x:v>v1</x:v>
      </x:c>
      <x:c r="F28" s="14" t="str">
        <x:v>A Neutral-Atom Quantum Compiler with Application-Specific Compilation</x:v>
      </x:c>
      <x:c r="G28" s="14" t="n">
        <x:v>2026</x:v>
      </x:c>
      <x:c r="H28" s="14" t="str">
        <x:v>2026-05-28</x:v>
      </x:c>
      <x:c r="I28" s="14"/>
      <x:c r="J28" s="14" t="str">
        <x:v>quant-ph</x:v>
      </x:c>
      <x:c r="K28" s="14" t="str">
        <x:v>quant-ph</x:v>
      </x:c>
      <x:c r="L28" s="14" t="str">
        <x:v>neutral atom compiler; optical tweezer arrays; Rydberg-mediated operations</x:v>
      </x:c>
      <x:c r="M28" s="14" t="str">
        <x:v>include</x:v>
      </x:c>
      <x:c r="N28" s="14" t="str">
        <x:v>Software/compiler layer; useful for company/theory/software map but not an experimental group by itself.</x:v>
      </x:c>
      <x:c r="O28" s="14" t="str">
        <x:v>Unknown</x:v>
      </x:c>
      <x:c r="P28" s="14" t="str">
        <x:v>Unknown</x:v>
      </x:c>
      <x:c r="Q28" s="14" t="str">
        <x:v>unclear</x:v>
      </x:c>
      <x:c r="R28" s="14" t="str">
        <x:v>Institution pending</x:v>
      </x:c>
      <x:c r="S28" s="14" t="str">
        <x:v>arxiv_search_result_only</x:v>
      </x:c>
      <x:c r="T28" s="14" t="str">
        <x:v>Institution pending</x:v>
      </x:c>
      <x:c r="U28" s="14"/>
      <x:c r="V28" s="14"/>
      <x:c r="W28" s="14"/>
      <x:c r="X28" s="14"/>
      <x:c r="Y28" s="14"/>
      <x:c r="Z28" s="14"/>
      <x:c r="AA28" s="14" t="str">
        <x:v>new</x:v>
      </x:c>
      <x:c r="AB28" s="14"/>
      <x:c r="AC28" s="14" t="str">
        <x:v>https://arxiv.org/abs/2605.29964</x:v>
      </x:c>
      <x:c r="AD28" s="14" t="str">
        <x:v>https://arxiv.org/pdf/2605.29964</x:v>
      </x:c>
      <x:c r="AE28" s="14"/>
      <x:c r="AF28" s="14" t="str">
        <x:v>C</x:v>
      </x:c>
      <x:c r="AG28" s="14" t="str">
        <x:v>Extract authors/affiliations later; likely software/architecture layer.</x:v>
      </x:c>
      <x:c r="AH28" s="53" t="b">
        <x:v>1</x:v>
      </x:c>
    </x:row>
    <x:row r="29">
      <x:c r="A29" s="14" t="str">
        <x:v>ARXIV-PI-0028</x:v>
      </x:c>
      <x:c r="B29" s="14" t="str">
        <x:v>Q-008</x:v>
      </x:c>
      <x:c r="C29" s="14" t="str">
        <x:v>arxiv systematic pass v0.8 / optimization theory/software</x:v>
      </x:c>
      <x:c r="D29" s="14" t="str">
        <x:v>2508.06130</x:v>
      </x:c>
      <x:c r="E29" s="14" t="str">
        <x:v>v2</x:v>
      </x:c>
      <x:c r="F29" s="14" t="str">
        <x:v>Quantum Optimization on Rydberg Atom Arrays with Arbitrary Connectivity: Gadgets Limitations and a Heuristic Approach</x:v>
      </x:c>
      <x:c r="G29" s="14" t="n">
        <x:v>2025</x:v>
      </x:c>
      <x:c r="H29" s="14" t="str">
        <x:v>2025-08-08</x:v>
      </x:c>
      <x:c r="I29" s="14"/>
      <x:c r="J29" s="14" t="str">
        <x:v>quant-ph</x:v>
      </x:c>
      <x:c r="K29" s="14" t="str">
        <x:v>quant-ph</x:v>
      </x:c>
      <x:c r="L29" s="14" t="str">
        <x:v>Rydberg atom arrays; optimization; arbitrary connectivity; software</x:v>
      </x:c>
      <x:c r="M29" s="14" t="str">
        <x:v>include</x:v>
      </x:c>
      <x:c r="N29" s="14" t="str">
        <x:v>Useful software/algorithm node for Rydberg arrays; likely company-related, needs affiliation validation.</x:v>
      </x:c>
      <x:c r="O29" s="14" t="str">
        <x:v>Vittorio Vitale</x:v>
      </x:c>
      <x:c r="P29" s="14" t="str">
        <x:v>Vittorio Vitale</x:v>
      </x:c>
      <x:c r="Q29" s="14" t="str">
        <x:v>yes</x:v>
      </x:c>
      <x:c r="R29" s="14" t="str">
        <x:v>Institution pending; possible industry/quantum software affiliation</x:v>
      </x:c>
      <x:c r="S29" s="14" t="str">
        <x:v>arxiv_only</x:v>
      </x:c>
      <x:c r="T29" s="14" t="str">
        <x:v>Institution pending</x:v>
      </x:c>
      <x:c r="U29" s="14"/>
      <x:c r="V29" s="14"/>
      <x:c r="W29" s="14"/>
      <x:c r="X29" s="14"/>
      <x:c r="Y29" s="14"/>
      <x:c r="Z29" s="14"/>
      <x:c r="AA29" s="14" t="str">
        <x:v>new</x:v>
      </x:c>
      <x:c r="AB29" s="14"/>
      <x:c r="AC29" s="14" t="str">
        <x:v>https://arxiv.org/abs/2508.06130</x:v>
      </x:c>
      <x:c r="AD29" s="14" t="str">
        <x:v>https://arxiv.org/pdf/2508.06130</x:v>
      </x:c>
      <x:c r="AE29" s="14"/>
      <x:c r="AF29" s="14" t="str">
        <x:v>B/C</x:v>
      </x:c>
      <x:c r="AG29" s="14" t="str">
        <x:v>Candidate for software/company layer; do not promote before affiliation check.</x:v>
      </x:c>
      <x:c r="AH29" s="53" t="b">
        <x:v>1</x:v>
      </x:c>
    </x:row>
    <x:row r="30">
      <x:c r="A30" s="14" t="str">
        <x:v>ARXIV-PI-0029</x:v>
      </x:c>
      <x:c r="B30" s="14" t="str">
        <x:v>Q-017</x:v>
      </x:c>
      <x:c r="C30" s="14" t="str">
        <x:v>arxiv systematic pass v0.8 / control theory</x:v>
      </x:c>
      <x:c r="D30" s="14" t="str">
        <x:v>2606.02283</x:v>
      </x:c>
      <x:c r="E30" s="14" t="str">
        <x:v>v1</x:v>
      </x:c>
      <x:c r="F30" s="14" t="str">
        <x:v>Quantum optimal control of the Dicke manifold in dipolar Rydberg atom arrays</x:v>
      </x:c>
      <x:c r="G30" s="14" t="n">
        <x:v>2026</x:v>
      </x:c>
      <x:c r="H30" s="14" t="str">
        <x:v>2026-06-02</x:v>
      </x:c>
      <x:c r="I30" s="14"/>
      <x:c r="J30" s="14" t="str">
        <x:v>quant-ph</x:v>
      </x:c>
      <x:c r="K30" s="14" t="str">
        <x:v>quant-ph</x:v>
      </x:c>
      <x:c r="L30" s="14" t="str">
        <x:v>Rydberg atom arrays; optimal control; Dicke manifold; theory</x:v>
      </x:c>
      <x:c r="M30" s="14" t="str">
        <x:v>include</x:v>
      </x:c>
      <x:c r="N30" s="14" t="str">
        <x:v>Theory/control paper directly on Rydberg atom arrays.</x:v>
      </x:c>
      <x:c r="O30" s="14" t="str">
        <x:v>Ivan H. Deutsch</x:v>
      </x:c>
      <x:c r="P30" s="14" t="str">
        <x:v>Ivan H. Deutsch</x:v>
      </x:c>
      <x:c r="Q30" s="14" t="str">
        <x:v>yes</x:v>
      </x:c>
      <x:c r="R30" s="14" t="str">
        <x:v>University of New Mexico</x:v>
      </x:c>
      <x:c r="S30" s="14" t="str">
        <x:v>manual_knowledge_pending_source</x:v>
      </x:c>
      <x:c r="T30" s="14" t="str">
        <x:v>University of New Mexico</x:v>
      </x:c>
      <x:c r="U30" s="14"/>
      <x:c r="V30" s="14" t="str">
        <x:v>Albuquerque</x:v>
      </x:c>
      <x:c r="W30" s="14" t="str">
        <x:v>United States</x:v>
      </x:c>
      <x:c r="X30" s="14" t="n">
        <x:v>35.0844</x:v>
      </x:c>
      <x:c r="Y30" s="14" t="n">
        <x:v>-106.6504</x:v>
      </x:c>
      <x:c r="Z30" s="14"/>
      <x:c r="AA30" s="14" t="str">
        <x:v>new</x:v>
      </x:c>
      <x:c r="AB30" s="14"/>
      <x:c r="AC30" s="14" t="str">
        <x:v>https://arxiv.org/abs/2606.02283</x:v>
      </x:c>
      <x:c r="AD30" s="14" t="str">
        <x:v>https://arxiv.org/pdf/2606.02283</x:v>
      </x:c>
      <x:c r="AE30" s="14"/>
      <x:c r="AF30" s="14" t="str">
        <x:v>B</x:v>
      </x:c>
      <x:c r="AG30" s="14" t="str">
        <x:v>Good theory/control node; verify affiliation from PDF or official page.</x:v>
      </x:c>
      <x:c r="AH30" s="53" t="b">
        <x:v>1</x:v>
      </x:c>
    </x:row>
    <x:row r="31">
      <x:c r="A31" s="14" t="str">
        <x:v>ARXIV-PI-0030</x:v>
      </x:c>
      <x:c r="B31" s="14" t="str">
        <x:v>Q-015</x:v>
      </x:c>
      <x:c r="C31" s="14" t="str">
        <x:v>arxiv systematic pass v0.8 / gates theory</x:v>
      </x:c>
      <x:c r="D31" s="14" t="str">
        <x:v>2511.22214</x:v>
      </x:c>
      <x:c r="E31" s="14" t="str">
        <x:v>v2</x:v>
      </x:c>
      <x:c r="F31" s="14" t="str">
        <x:v>Blockade-induced exchange primitives for scalable neutral-atom quantum processing</x:v>
      </x:c>
      <x:c r="G31" s="14" t="n">
        <x:v>2025</x:v>
      </x:c>
      <x:c r="H31" s="14" t="str">
        <x:v>2025-11-27</x:v>
      </x:c>
      <x:c r="I31" s="14"/>
      <x:c r="J31" s="14" t="str">
        <x:v>quant-ph</x:v>
      </x:c>
      <x:c r="K31" s="14" t="str">
        <x:v>quant-ph</x:v>
      </x:c>
      <x:c r="L31" s="14" t="str">
        <x:v>Rydberg blockade; neutral-atom arrays; exchange primitives; gates</x:v>
      </x:c>
      <x:c r="M31" s="14" t="str">
        <x:v>include</x:v>
      </x:c>
      <x:c r="N31" s="14" t="str">
        <x:v>Direct gate/control theory for blockade-programmed neutral-atom arrays.</x:v>
      </x:c>
      <x:c r="O31" s="14" t="str">
        <x:v>M. Khazali</x:v>
      </x:c>
      <x:c r="P31" s="14" t="str">
        <x:v>M. Khazali</x:v>
      </x:c>
      <x:c r="Q31" s="14" t="str">
        <x:v>yes</x:v>
      </x:c>
      <x:c r="R31" s="14" t="str">
        <x:v>Institution pending</x:v>
      </x:c>
      <x:c r="S31" s="14" t="str">
        <x:v>arxiv_only</x:v>
      </x:c>
      <x:c r="T31" s="14" t="str">
        <x:v>Institution pending</x:v>
      </x:c>
      <x:c r="U31" s="14"/>
      <x:c r="V31" s="14"/>
      <x:c r="W31" s="14"/>
      <x:c r="X31" s="14"/>
      <x:c r="Y31" s="14"/>
      <x:c r="Z31" s="14"/>
      <x:c r="AA31" s="14" t="str">
        <x:v>new</x:v>
      </x:c>
      <x:c r="AB31" s="14"/>
      <x:c r="AC31" s="14" t="str">
        <x:v>https://arxiv.org/abs/2511.22214</x:v>
      </x:c>
      <x:c r="AD31" s="14" t="str">
        <x:v>https://arxiv.org/pdf/2511.22214</x:v>
      </x:c>
      <x:c r="AE31" s="14"/>
      <x:c r="AF31" s="14" t="str">
        <x:v>B</x:v>
      </x:c>
      <x:c r="AG31" s="14" t="str">
        <x:v>Single-author or unclear senior-author case; last-author heuristic weak.</x:v>
      </x:c>
      <x:c r="AH31" s="53" t="b">
        <x:v>1</x:v>
      </x:c>
    </x:row>
    <x:row r="32">
      <x:c r="A32" s="14" t="str">
        <x:v>ARXIV-PI-0031</x:v>
      </x:c>
      <x:c r="B32" s="14" t="str">
        <x:v>Q-015</x:v>
      </x:c>
      <x:c r="C32" s="14" t="str">
        <x:v>arxiv systematic pass v0.8 / qudit gates/control</x:v>
      </x:c>
      <x:c r="D32" s="14" t="str">
        <x:v>2508.16294</x:v>
      </x:c>
      <x:c r="E32" s="14" t="str">
        <x:v>v2</x:v>
      </x:c>
      <x:c r="F32" s="14" t="str">
        <x:v>Robust Control and Entanglement of Qudits in Neutral Atom Arrays</x:v>
      </x:c>
      <x:c r="G32" s="14" t="n">
        <x:v>2025</x:v>
      </x:c>
      <x:c r="H32" s="14" t="str">
        <x:v>2025-08-22</x:v>
      </x:c>
      <x:c r="I32" s="14"/>
      <x:c r="J32" s="14" t="str">
        <x:v>quant-ph</x:v>
      </x:c>
      <x:c r="K32" s="14" t="str">
        <x:v>quant-ph</x:v>
      </x:c>
      <x:c r="L32" s="14" t="str">
        <x:v>neutral atom arrays; qudits; Rydberg entanglement; control</x:v>
      </x:c>
      <x:c r="M32" s="14" t="str">
        <x:v>include</x:v>
      </x:c>
      <x:c r="N32" s="14" t="str">
        <x:v>Relevant theory/control row for multi-level/qudit neutral atom arrays; verify explicit tweezer/Rydberg mapping.</x:v>
      </x:c>
      <x:c r="O32" s="14" t="str">
        <x:v>Ran Finkelstein</x:v>
      </x:c>
      <x:c r="P32" s="14" t="str">
        <x:v>Ran Finkelstein</x:v>
      </x:c>
      <x:c r="Q32" s="14" t="str">
        <x:v>yes</x:v>
      </x:c>
      <x:c r="R32" s="14" t="str">
        <x:v>Institution pending</x:v>
      </x:c>
      <x:c r="S32" s="14" t="str">
        <x:v>arxiv_only</x:v>
      </x:c>
      <x:c r="T32" s="14" t="str">
        <x:v>Institution pending</x:v>
      </x:c>
      <x:c r="U32" s="14"/>
      <x:c r="V32" s="14"/>
      <x:c r="W32" s="14"/>
      <x:c r="X32" s="14"/>
      <x:c r="Y32" s="14"/>
      <x:c r="Z32" s="14"/>
      <x:c r="AA32" s="14" t="str">
        <x:v>new</x:v>
      </x:c>
      <x:c r="AB32" s="14"/>
      <x:c r="AC32" s="14" t="str">
        <x:v>https://arxiv.org/abs/2508.16294</x:v>
      </x:c>
      <x:c r="AD32" s="14" t="str">
        <x:v>https://arxiv.org/pdf/2508.16294</x:v>
      </x:c>
      <x:c r="AE32" s="14"/>
      <x:c r="AF32" s="14" t="str">
        <x:v>B/C</x:v>
      </x:c>
      <x:c r="AG32" s="14" t="str">
        <x:v>Keep as theory/control candidate.</x:v>
      </x:c>
      <x:c r="AH32" s="53" t="b">
        <x:v>1</x:v>
      </x:c>
    </x:row>
    <x:row r="33">
      <x:c r="A33" s="14" t="str">
        <x:v>ARXIV-PI-0032</x:v>
      </x:c>
      <x:c r="B33" s="14" t="str">
        <x:v>Q-007</x:v>
      </x:c>
      <x:c r="C33" s="14" t="str">
        <x:v>arxiv systematic pass v0.8 / many-body theory</x:v>
      </x:c>
      <x:c r="D33" s="14" t="str">
        <x:v>2502.07886</x:v>
      </x:c>
      <x:c r="E33" s="14" t="str">
        <x:v>v1</x:v>
      </x:c>
      <x:c r="F33" s="14" t="str">
        <x:v>Lattice Defects in Rydberg Atom Arrays</x:v>
      </x:c>
      <x:c r="G33" s="14" t="n">
        <x:v>2025</x:v>
      </x:c>
      <x:c r="H33" s="14" t="str">
        <x:v>2025-02-11</x:v>
      </x:c>
      <x:c r="I33" s="14"/>
      <x:c r="J33" s="14" t="str">
        <x:v>quant-ph</x:v>
      </x:c>
      <x:c r="K33" s="14" t="str">
        <x:v>quant-ph</x:v>
      </x:c>
      <x:c r="L33" s="14" t="str">
        <x:v>Rydberg atom arrays; lattice defects; many-body theory</x:v>
      </x:c>
      <x:c r="M33" s="14" t="str">
        <x:v>include</x:v>
      </x:c>
      <x:c r="N33" s="14" t="str">
        <x:v>Theory paper directly on Rydberg arrays; likely adjacent/core-theory depending on platform mapping.</x:v>
      </x:c>
      <x:c r="O33" s="14" t="str">
        <x:v>Unknown</x:v>
      </x:c>
      <x:c r="P33" s="14" t="str">
        <x:v>Unknown</x:v>
      </x:c>
      <x:c r="Q33" s="14" t="str">
        <x:v>unclear</x:v>
      </x:c>
      <x:c r="R33" s="14" t="str">
        <x:v>Institution pending</x:v>
      </x:c>
      <x:c r="S33" s="14" t="str">
        <x:v>arxiv_search_result_only</x:v>
      </x:c>
      <x:c r="T33" s="14" t="str">
        <x:v>Institution pending</x:v>
      </x:c>
      <x:c r="U33" s="14"/>
      <x:c r="V33" s="14"/>
      <x:c r="W33" s="14"/>
      <x:c r="X33" s="14"/>
      <x:c r="Y33" s="14"/>
      <x:c r="Z33" s="14"/>
      <x:c r="AA33" s="14" t="str">
        <x:v>new</x:v>
      </x:c>
      <x:c r="AB33" s="14"/>
      <x:c r="AC33" s="14" t="str">
        <x:v>https://arxiv.org/abs/2502.07886</x:v>
      </x:c>
      <x:c r="AD33" s="14" t="str">
        <x:v>https://arxiv.org/pdf/2502.07886</x:v>
      </x:c>
      <x:c r="AE33" s="14"/>
      <x:c r="AF33" s="14" t="str">
        <x:v>C</x:v>
      </x:c>
      <x:c r="AG33" s="14" t="str">
        <x:v>Need author extraction from PDF; keep as candidate.</x:v>
      </x:c>
      <x:c r="AH33" s="53" t="b">
        <x:v>1</x:v>
      </x:c>
    </x:row>
    <x:row r="34">
      <x:c r="A34" s="14" t="str">
        <x:v>ARXIV-PI-0033</x:v>
      </x:c>
      <x:c r="B34" s="14" t="str">
        <x:v>Q-007</x:v>
      </x:c>
      <x:c r="C34" s="14" t="str">
        <x:v>arxiv systematic pass v0.8 / many-body theory</x:v>
      </x:c>
      <x:c r="D34" s="14" t="str">
        <x:v>2604.18890</x:v>
      </x:c>
      <x:c r="E34" s="14" t="str">
        <x:v>v1</x:v>
      </x:c>
      <x:c r="F34" s="14" t="str">
        <x:v>Stabilization of bulk quantum orders in finite Rydberg atom arrays</x:v>
      </x:c>
      <x:c r="G34" s="14" t="n">
        <x:v>2026</x:v>
      </x:c>
      <x:c r="H34" s="14" t="str">
        <x:v>2026-04-20</x:v>
      </x:c>
      <x:c r="I34" s="14"/>
      <x:c r="J34" s="14" t="str">
        <x:v>quant-ph</x:v>
      </x:c>
      <x:c r="K34" s="14" t="str">
        <x:v>quant-ph</x:v>
      </x:c>
      <x:c r="L34" s="14" t="str">
        <x:v>Rydberg atom arrays; quantum orders; finite arrays; theory</x:v>
      </x:c>
      <x:c r="M34" s="14" t="str">
        <x:v>include</x:v>
      </x:c>
      <x:c r="N34" s="14" t="str">
        <x:v>Theory paper on finite Rydberg arrays, useful for theory layer.</x:v>
      </x:c>
      <x:c r="O34" s="14" t="str">
        <x:v>Matthew J. Coley-O'Rourke</x:v>
      </x:c>
      <x:c r="P34" s="14" t="str">
        <x:v>Matthew J. Coley-O'Rourke</x:v>
      </x:c>
      <x:c r="Q34" s="14" t="str">
        <x:v>yes</x:v>
      </x:c>
      <x:c r="R34" s="14" t="str">
        <x:v>Institution pending</x:v>
      </x:c>
      <x:c r="S34" s="14" t="str">
        <x:v>arxiv_only</x:v>
      </x:c>
      <x:c r="T34" s="14" t="str">
        <x:v>Institution pending</x:v>
      </x:c>
      <x:c r="U34" s="14"/>
      <x:c r="V34" s="14"/>
      <x:c r="W34" s="14"/>
      <x:c r="X34" s="14"/>
      <x:c r="Y34" s="14"/>
      <x:c r="Z34" s="14"/>
      <x:c r="AA34" s="14" t="str">
        <x:v>new</x:v>
      </x:c>
      <x:c r="AB34" s="14"/>
      <x:c r="AC34" s="14" t="str">
        <x:v>https://arxiv.org/abs/2604.18890</x:v>
      </x:c>
      <x:c r="AD34" s="14" t="str">
        <x:v>https://arxiv.org/pdf/2604.18890</x:v>
      </x:c>
      <x:c r="AE34" s="14"/>
      <x:c r="AF34" s="14" t="str">
        <x:v>B/C</x:v>
      </x:c>
      <x:c r="AG34" s="14" t="str">
        <x:v>Affiliation not yet normalized.</x:v>
      </x:c>
      <x:c r="AH34" s="53" t="b">
        <x:v>1</x:v>
      </x:c>
    </x:row>
    <x:row r="35">
      <x:c r="A35" s="14" t="str">
        <x:v>ARXIV-PI-0034</x:v>
      </x:c>
      <x:c r="B35" s="14" t="str">
        <x:v>Q-008</x:v>
      </x:c>
      <x:c r="C35" s="14" t="str">
        <x:v>arxiv systematic pass v0.8 / quantum ML applications</x:v>
      </x:c>
      <x:c r="D35" s="14" t="str">
        <x:v>2510.20798</x:v>
      </x:c>
      <x:c r="E35" s="14" t="str">
        <x:v>v1</x:v>
      </x:c>
      <x:c r="F35" s="14" t="str">
        <x:v>Analog Quantum Feature Selection with Neutral-Atom Arrays</x:v>
      </x:c>
      <x:c r="G35" s="14" t="n">
        <x:v>2025</x:v>
      </x:c>
      <x:c r="H35" s="14" t="str">
        <x:v>2025-10-23</x:v>
      </x:c>
      <x:c r="I35" s="14"/>
      <x:c r="J35" s="14" t="str">
        <x:v>quant-ph</x:v>
      </x:c>
      <x:c r="K35" s="14" t="str">
        <x:v>quant-ph</x:v>
      </x:c>
      <x:c r="L35" s="14" t="str">
        <x:v>neutral atom arrays; analog quantum simulation; Rydberg blockade; applications</x:v>
      </x:c>
      <x:c r="M35" s="14" t="str">
        <x:v>include</x:v>
      </x:c>
      <x:c r="N35" s="14" t="str">
        <x:v>Applications/software row; relevant for analog optimization/QML use cases.</x:v>
      </x:c>
      <x:c r="O35" s="14" t="str">
        <x:v>Unknown</x:v>
      </x:c>
      <x:c r="P35" s="14" t="str">
        <x:v>Unknown</x:v>
      </x:c>
      <x:c r="Q35" s="14" t="str">
        <x:v>unclear</x:v>
      </x:c>
      <x:c r="R35" s="14" t="str">
        <x:v>Institution pending</x:v>
      </x:c>
      <x:c r="S35" s="14" t="str">
        <x:v>arxiv_search_result_only</x:v>
      </x:c>
      <x:c r="T35" s="14" t="str">
        <x:v>Institution pending</x:v>
      </x:c>
      <x:c r="U35" s="14"/>
      <x:c r="V35" s="14"/>
      <x:c r="W35" s="14"/>
      <x:c r="X35" s="14"/>
      <x:c r="Y35" s="14"/>
      <x:c r="Z35" s="14"/>
      <x:c r="AA35" s="14" t="str">
        <x:v>new</x:v>
      </x:c>
      <x:c r="AB35" s="14"/>
      <x:c r="AC35" s="14" t="str">
        <x:v>https://arxiv.org/abs/2510.20798</x:v>
      </x:c>
      <x:c r="AD35" s="14" t="str">
        <x:v>https://arxiv.org/pdf/2510.20798</x:v>
      </x:c>
      <x:c r="AE35" s="14"/>
      <x:c r="AF35" s="14" t="str">
        <x:v>C</x:v>
      </x:c>
      <x:c r="AG35" s="14" t="str">
        <x:v>Needs author/affiliation extraction.</x:v>
      </x:c>
      <x:c r="AH35" s="53" t="b">
        <x:v>1</x:v>
      </x:c>
    </x:row>
    <x:row r="36">
      <x:c r="A36" s="14" t="str">
        <x:v>ARXIV-PI-0035</x:v>
      </x:c>
      <x:c r="B36" s="14" t="str">
        <x:v>Q-007</x:v>
      </x:c>
      <x:c r="C36" s="14" t="str">
        <x:v>arxiv systematic pass v0.8 / simulation theory</x:v>
      </x:c>
      <x:c r="D36" s="14" t="str">
        <x:v>2506.09865</x:v>
      </x:c>
      <x:c r="E36" s="14" t="str">
        <x:v>v1</x:v>
      </x:c>
      <x:c r="F36" s="14" t="str">
        <x:v>Rydberg atom arrays as quantum simulators for molecular dynamics</x:v>
      </x:c>
      <x:c r="G36" s="14" t="n">
        <x:v>2025</x:v>
      </x:c>
      <x:c r="H36" s="14" t="str">
        <x:v>2025-06-11</x:v>
      </x:c>
      <x:c r="I36" s="14"/>
      <x:c r="J36" s="14" t="str">
        <x:v>quant-ph</x:v>
      </x:c>
      <x:c r="K36" s="14" t="str">
        <x:v>quant-ph</x:v>
      </x:c>
      <x:c r="L36" s="14" t="str">
        <x:v>Rydberg atom arrays; molecular dynamics; quantum simulation; theory</x:v>
      </x:c>
      <x:c r="M36" s="14" t="str">
        <x:v>include</x:v>
      </x:c>
      <x:c r="N36" s="14" t="str">
        <x:v>Direct theory/simulation paper using Rydberg atom arrays.</x:v>
      </x:c>
      <x:c r="O36" s="14" t="str">
        <x:v>Igor Lesanovsky</x:v>
      </x:c>
      <x:c r="P36" s="14" t="str">
        <x:v>Igor Lesanovsky</x:v>
      </x:c>
      <x:c r="Q36" s="14" t="str">
        <x:v>yes</x:v>
      </x:c>
      <x:c r="R36" s="14" t="str">
        <x:v>Institution pending; likely Nottingham/Tübingen ecosystem</x:v>
      </x:c>
      <x:c r="S36" s="14" t="str">
        <x:v>arxiv_only</x:v>
      </x:c>
      <x:c r="T36" s="14" t="str">
        <x:v>Institution pending</x:v>
      </x:c>
      <x:c r="U36" s="14"/>
      <x:c r="V36" s="14"/>
      <x:c r="W36" s="14"/>
      <x:c r="X36" s="14"/>
      <x:c r="Y36" s="14"/>
      <x:c r="Z36" s="14"/>
      <x:c r="AA36" s="14" t="str">
        <x:v>new</x:v>
      </x:c>
      <x:c r="AB36" s="14"/>
      <x:c r="AC36" s="14" t="str">
        <x:v>https://arxiv.org/abs/2506.09865</x:v>
      </x:c>
      <x:c r="AD36" s="14" t="str">
        <x:v>https://arxiv.org/pdf/2506.09865</x:v>
      </x:c>
      <x:c r="AE36" s="14"/>
      <x:c r="AF36" s="14" t="str">
        <x:v>B</x:v>
      </x:c>
      <x:c r="AG36" s="14" t="str">
        <x:v>Good theory node; verify exact current affiliation.</x:v>
      </x:c>
      <x:c r="AH36" s="53" t="b">
        <x:v>1</x:v>
      </x:c>
    </x:row>
    <x:row r="37">
      <x:c r="A37" s="14" t="str">
        <x:v>ARXIV-PI-0036</x:v>
      </x:c>
      <x:c r="B37" s="14" t="str">
        <x:v>Q-008</x:v>
      </x:c>
      <x:c r="C37" s="14" t="str">
        <x:v>arxiv systematic pass v0.8 / reservoir computing theory</x:v>
      </x:c>
      <x:c r="D37" s="14" t="str">
        <x:v>2602.00610</x:v>
      </x:c>
      <x:c r="E37" s="14" t="str">
        <x:v>v1</x:v>
      </x:c>
      <x:c r="F37" s="14" t="str">
        <x:v>Practical Quantum Reservoir Computing in Rydberg Atom Arrays</x:v>
      </x:c>
      <x:c r="G37" s="14" t="n">
        <x:v>2026</x:v>
      </x:c>
      <x:c r="H37" s="14" t="str">
        <x:v>2026-01-31</x:v>
      </x:c>
      <x:c r="I37" s="14"/>
      <x:c r="J37" s="14" t="str">
        <x:v>quant-ph</x:v>
      </x:c>
      <x:c r="K37" s="14" t="str">
        <x:v>quant-ph</x:v>
      </x:c>
      <x:c r="L37" s="14" t="str">
        <x:v>Rydberg atom arrays; reservoir computing; applications</x:v>
      </x:c>
      <x:c r="M37" s="14" t="str">
        <x:v>include</x:v>
      </x:c>
      <x:c r="N37" s="14" t="str">
        <x:v>Applications/theory row; relevant for analog computing layer.</x:v>
      </x:c>
      <x:c r="O37" s="14" t="str">
        <x:v>Guang-Can Guo</x:v>
      </x:c>
      <x:c r="P37" s="14" t="str">
        <x:v>Guang-Can Guo</x:v>
      </x:c>
      <x:c r="Q37" s="14" t="str">
        <x:v>yes</x:v>
      </x:c>
      <x:c r="R37" s="14" t="str">
        <x:v>University of Science and Technology of China</x:v>
      </x:c>
      <x:c r="S37" s="14" t="str">
        <x:v>arxiv_only</x:v>
      </x:c>
      <x:c r="T37" s="14" t="str">
        <x:v>University of Science and Technology of China</x:v>
      </x:c>
      <x:c r="U37" s="14"/>
      <x:c r="V37" s="14" t="str">
        <x:v>Hefei</x:v>
      </x:c>
      <x:c r="W37" s="14" t="str">
        <x:v>China</x:v>
      </x:c>
      <x:c r="X37" s="14" t="n">
        <x:v>31.8206</x:v>
      </x:c>
      <x:c r="Y37" s="14" t="n">
        <x:v>117.2272</x:v>
      </x:c>
      <x:c r="Z37" s="14"/>
      <x:c r="AA37" s="14" t="str">
        <x:v>new</x:v>
      </x:c>
      <x:c r="AB37" s="14"/>
      <x:c r="AC37" s="14" t="str">
        <x:v>https://arxiv.org/abs/2602.00610</x:v>
      </x:c>
      <x:c r="AD37" s="14" t="str">
        <x:v>https://arxiv.org/pdf/2602.00610</x:v>
      </x:c>
      <x:c r="AE37" s="14"/>
      <x:c r="AF37" s="14" t="str">
        <x:v>B/C</x:v>
      </x:c>
      <x:c r="AG37" s="14" t="str">
        <x:v>Could be distinct theory/applications node within USTC ecosystem.</x:v>
      </x:c>
      <x:c r="AH37" s="53" t="b">
        <x:v>1</x:v>
      </x:c>
    </x:row>
    <x:row r="38">
      <x:c r="A38" s="14" t="str">
        <x:v>ARXIV-PI-0037</x:v>
      </x:c>
      <x:c r="B38" s="14" t="str">
        <x:v>Q-008</x:v>
      </x:c>
      <x:c r="C38" s="14" t="str">
        <x:v>arxiv systematic pass v0.8 / optimization experimental/theory</x:v>
      </x:c>
      <x:c r="D38" s="14" t="str">
        <x:v>2602.05432</x:v>
      </x:c>
      <x:c r="E38" s="14" t="str">
        <x:v>v1</x:v>
      </x:c>
      <x:c r="F38" s="14" t="str">
        <x:v>Quantum-Enhanced Deterministic Inference of k-Independent Set Instances on Neutral Atom Arrays</x:v>
      </x:c>
      <x:c r="G38" s="14" t="n">
        <x:v>2026</x:v>
      </x:c>
      <x:c r="H38" s="14" t="str">
        <x:v>2026-02-05</x:v>
      </x:c>
      <x:c r="I38" s="14"/>
      <x:c r="J38" s="14" t="str">
        <x:v>quant-ph</x:v>
      </x:c>
      <x:c r="K38" s="14" t="str">
        <x:v>quant-ph</x:v>
      </x:c>
      <x:c r="L38" s="14" t="str">
        <x:v>neutral atom arrays; independent set; optimization; Rydberg blockade</x:v>
      </x:c>
      <x:c r="M38" s="14" t="str">
        <x:v>include</x:v>
      </x:c>
      <x:c r="N38" s="14" t="str">
        <x:v>Optimization row, likely experimental or mixed; validate platform and affiliation.</x:v>
      </x:c>
      <x:c r="O38" s="14" t="str">
        <x:v>Jaewook Ahn</x:v>
      </x:c>
      <x:c r="P38" s="14" t="str">
        <x:v>Jaewook Ahn</x:v>
      </x:c>
      <x:c r="Q38" s="14" t="str">
        <x:v>yes</x:v>
      </x:c>
      <x:c r="R38" s="14" t="str">
        <x:v>KAIST, manual check</x:v>
      </x:c>
      <x:c r="S38" s="14" t="str">
        <x:v>arxiv_only</x:v>
      </x:c>
      <x:c r="T38" s="14" t="str">
        <x:v>KAIST</x:v>
      </x:c>
      <x:c r="U38" s="14"/>
      <x:c r="V38" s="14" t="str">
        <x:v>Daejeon</x:v>
      </x:c>
      <x:c r="W38" s="14" t="str">
        <x:v>South Korea</x:v>
      </x:c>
      <x:c r="X38" s="14" t="n">
        <x:v>36.3504</x:v>
      </x:c>
      <x:c r="Y38" s="14" t="n">
        <x:v>127.3845</x:v>
      </x:c>
      <x:c r="Z38" s="14"/>
      <x:c r="AA38" s="14" t="str">
        <x:v>new</x:v>
      </x:c>
      <x:c r="AB38" s="14"/>
      <x:c r="AC38" s="14" t="str">
        <x:v>https://arxiv.org/abs/2602.05432</x:v>
      </x:c>
      <x:c r="AD38" s="14" t="str">
        <x:v>https://arxiv.org/pdf/2602.05432</x:v>
      </x:c>
      <x:c r="AE38" s="14"/>
      <x:c r="AF38" s="14" t="str">
        <x:v>B/C</x:v>
      </x:c>
      <x:c r="AG38" s="14" t="str">
        <x:v>Potential Asia node; needs manual check.</x:v>
      </x:c>
      <x:c r="AH38" s="53" t="b">
        <x:v>1</x:v>
      </x:c>
    </x:row>
    <x:row r="39">
      <x:c r="A39" s="14" t="str">
        <x:v>ARXIV-PI-0038</x:v>
      </x:c>
      <x:c r="B39" s="14" t="str">
        <x:v>Q-007</x:v>
      </x:c>
      <x:c r="C39" s="14" t="str">
        <x:v>arxiv systematic pass v0.8 / cavity-QED theory</x:v>
      </x:c>
      <x:c r="D39" s="14" t="str">
        <x:v>2504.05126</x:v>
      </x:c>
      <x:c r="E39" s="14" t="str">
        <x:v>v1</x:v>
      </x:c>
      <x:c r="F39" s="14" t="str">
        <x:v>Frustrated Rydberg Atom Arrays Meet Cavity-QED: Emergence of the Superradiant Clock Phase</x:v>
      </x:c>
      <x:c r="G39" s="14" t="n">
        <x:v>2025</x:v>
      </x:c>
      <x:c r="H39" s="14" t="str">
        <x:v>2025-04-07</x:v>
      </x:c>
      <x:c r="I39" s="14"/>
      <x:c r="J39" s="14" t="str">
        <x:v>quant-ph</x:v>
      </x:c>
      <x:c r="K39" s="14" t="str">
        <x:v>quant-ph</x:v>
      </x:c>
      <x:c r="L39" s="14" t="str">
        <x:v>Rydberg atom arrays; cavity QED; frustrated arrays; theory</x:v>
      </x:c>
      <x:c r="M39" s="14" t="str">
        <x:v>include</x:v>
      </x:c>
      <x:c r="N39" s="14" t="str">
        <x:v>Theory/adjacent row combining Rydberg arrays with cavity QED.</x:v>
      </x:c>
      <x:c r="O39" s="14" t="str">
        <x:v>Xue-Feng Zhang</x:v>
      </x:c>
      <x:c r="P39" s="14" t="str">
        <x:v>Xue-Feng Zhang</x:v>
      </x:c>
      <x:c r="Q39" s="14" t="str">
        <x:v>yes</x:v>
      </x:c>
      <x:c r="R39" s="14" t="str">
        <x:v>Institution pending</x:v>
      </x:c>
      <x:c r="S39" s="14" t="str">
        <x:v>arxiv_only</x:v>
      </x:c>
      <x:c r="T39" s="14" t="str">
        <x:v>Institution pending</x:v>
      </x:c>
      <x:c r="U39" s="14"/>
      <x:c r="V39" s="14"/>
      <x:c r="W39" s="14"/>
      <x:c r="X39" s="14"/>
      <x:c r="Y39" s="14"/>
      <x:c r="Z39" s="14"/>
      <x:c r="AA39" s="14" t="str">
        <x:v>new</x:v>
      </x:c>
      <x:c r="AB39" s="14"/>
      <x:c r="AC39" s="14" t="str">
        <x:v>https://arxiv.org/abs/2504.05126</x:v>
      </x:c>
      <x:c r="AD39" s="14" t="str">
        <x:v>https://arxiv.org/pdf/2504.05126</x:v>
      </x:c>
      <x:c r="AE39" s="14"/>
      <x:c r="AF39" s="14" t="str">
        <x:v>C</x:v>
      </x:c>
      <x:c r="AG39" s="14" t="str">
        <x:v>Likely adjacent theory; verify affiliation.</x:v>
      </x:c>
      <x:c r="AH39" s="53" t="b">
        <x:v>1</x:v>
      </x:c>
    </x:row>
    <x:row r="40">
      <x:c r="A40" s="14" t="str">
        <x:v>ARXIV-PI-0039</x:v>
      </x:c>
      <x:c r="B40" s="14" t="str">
        <x:v>Q-007</x:v>
      </x:c>
      <x:c r="C40" s="14" t="str">
        <x:v>arxiv systematic pass v0.8 / many-body scars theory</x:v>
      </x:c>
      <x:c r="D40" s="14" t="str">
        <x:v>2605.05297</x:v>
      </x:c>
      <x:c r="E40" s="14" t="str">
        <x:v>v1</x:v>
      </x:c>
      <x:c r="F40" s="14" t="str">
        <x:v>Systematic construction of quantum many-body scars in frustrated Rydberg arrays</x:v>
      </x:c>
      <x:c r="G40" s="14" t="n">
        <x:v>2026</x:v>
      </x:c>
      <x:c r="H40" s="14" t="str">
        <x:v>2026-05-06</x:v>
      </x:c>
      <x:c r="I40" s="14"/>
      <x:c r="J40" s="14" t="str">
        <x:v>quant-ph</x:v>
      </x:c>
      <x:c r="K40" s="14" t="str">
        <x:v>quant-ph</x:v>
      </x:c>
      <x:c r="L40" s="14" t="str">
        <x:v>Rydberg arrays; many-body scars; frustrated arrays; theory</x:v>
      </x:c>
      <x:c r="M40" s="14" t="str">
        <x:v>include</x:v>
      </x:c>
      <x:c r="N40" s="14" t="str">
        <x:v>Rydberg array theory, useful for theory/many-body map layer.</x:v>
      </x:c>
      <x:c r="O40" s="14" t="str">
        <x:v>Maksym Serbyn</x:v>
      </x:c>
      <x:c r="P40" s="14" t="str">
        <x:v>Maksym Serbyn</x:v>
      </x:c>
      <x:c r="Q40" s="14" t="str">
        <x:v>yes</x:v>
      </x:c>
      <x:c r="R40" s="14" t="str">
        <x:v>ISTA, manual check</x:v>
      </x:c>
      <x:c r="S40" s="14" t="str">
        <x:v>arxiv_only</x:v>
      </x:c>
      <x:c r="T40" s="14" t="str">
        <x:v>Institute of Science and Technology Austria</x:v>
      </x:c>
      <x:c r="U40" s="14"/>
      <x:c r="V40" s="14" t="str">
        <x:v>Klosterneuburg</x:v>
      </x:c>
      <x:c r="W40" s="14" t="str">
        <x:v>Austria</x:v>
      </x:c>
      <x:c r="X40" s="14" t="n">
        <x:v>48.305</x:v>
      </x:c>
      <x:c r="Y40" s="14" t="n">
        <x:v>16.325</x:v>
      </x:c>
      <x:c r="Z40" s="14"/>
      <x:c r="AA40" s="14" t="str">
        <x:v>new</x:v>
      </x:c>
      <x:c r="AB40" s="14"/>
      <x:c r="AC40" s="14" t="str">
        <x:v>https://arxiv.org/abs/2605.05297</x:v>
      </x:c>
      <x:c r="AD40" s="14" t="str">
        <x:v>https://arxiv.org/pdf/2605.05297</x:v>
      </x:c>
      <x:c r="AE40" s="14"/>
      <x:c r="AF40" s="14" t="str">
        <x:v>B</x:v>
      </x:c>
      <x:c r="AG40" s="14" t="str">
        <x:v>Theory node; verify affiliation.</x:v>
      </x:c>
      <x:c r="AH40" s="53" t="b">
        <x:v>1</x:v>
      </x:c>
    </x:row>
    <x:row r="41">
      <x:c r="A41" s="14" t="str">
        <x:v>ARXIV-PI-0040</x:v>
      </x:c>
      <x:c r="B41" s="14" t="str">
        <x:v>Q-007</x:v>
      </x:c>
      <x:c r="C41" s="14" t="str">
        <x:v>arxiv systematic pass v0.8 / random-state theory</x:v>
      </x:c>
      <x:c r="D41" s="14" t="str">
        <x:v>2604.18457</x:v>
      </x:c>
      <x:c r="E41" s="14" t="str">
        <x:v>v1</x:v>
      </x:c>
      <x:c r="F41" s="14" t="str">
        <x:v>Random-State Generation and Preparation Complexity in Rydberg Atom Arrays</x:v>
      </x:c>
      <x:c r="G41" s="14" t="n">
        <x:v>2026</x:v>
      </x:c>
      <x:c r="H41" s="14" t="str">
        <x:v>2026-04-20</x:v>
      </x:c>
      <x:c r="I41" s="14"/>
      <x:c r="J41" s="14" t="str">
        <x:v>quant-ph</x:v>
      </x:c>
      <x:c r="K41" s="14" t="str">
        <x:v>quant-ph</x:v>
      </x:c>
      <x:c r="L41" s="14" t="str">
        <x:v>Rydberg atom arrays; random states; preparation complexity; theory</x:v>
      </x:c>
      <x:c r="M41" s="14" t="str">
        <x:v>include</x:v>
      </x:c>
      <x:c r="N41" s="14" t="str">
        <x:v>Theory row; relevant to control/complexity layer.</x:v>
      </x:c>
      <x:c r="O41" s="14" t="str">
        <x:v>Grégoire Misguich</x:v>
      </x:c>
      <x:c r="P41" s="14" t="str">
        <x:v>Grégoire Misguich</x:v>
      </x:c>
      <x:c r="Q41" s="14" t="str">
        <x:v>yes</x:v>
      </x:c>
      <x:c r="R41" s="14" t="str">
        <x:v>CEA/IPhT Saclay, manual check</x:v>
      </x:c>
      <x:c r="S41" s="14" t="str">
        <x:v>arxiv_only</x:v>
      </x:c>
      <x:c r="T41" s="14" t="str">
        <x:v>CEA / Institut de Physique Théorique</x:v>
      </x:c>
      <x:c r="U41" s="14"/>
      <x:c r="V41" s="14" t="str">
        <x:v>Saclay</x:v>
      </x:c>
      <x:c r="W41" s="14" t="str">
        <x:v>France</x:v>
      </x:c>
      <x:c r="X41" s="14" t="n">
        <x:v>48.727</x:v>
      </x:c>
      <x:c r="Y41" s="14" t="n">
        <x:v>2.149</x:v>
      </x:c>
      <x:c r="Z41" s="14"/>
      <x:c r="AA41" s="14" t="str">
        <x:v>new</x:v>
      </x:c>
      <x:c r="AB41" s="14"/>
      <x:c r="AC41" s="14" t="str">
        <x:v>https://arxiv.org/abs/2604.18457</x:v>
      </x:c>
      <x:c r="AD41" s="14" t="str">
        <x:v>https://arxiv.org/pdf/2604.18457</x:v>
      </x:c>
      <x:c r="AE41" s="14"/>
      <x:c r="AF41" s="14" t="str">
        <x:v>B</x:v>
      </x:c>
      <x:c r="AG41" s="14" t="str">
        <x:v>Theory node close to Paris/Saclay ecosystem; verify.</x:v>
      </x:c>
      <x:c r="AH41" s="53" t="b">
        <x:v>1</x:v>
      </x:c>
    </x:row>
    <x:row r="42">
      <x:c r="A42" s="14" t="str">
        <x:v>ARXIV-PI-0041</x:v>
      </x:c>
      <x:c r="B42" s="14" t="str">
        <x:v>Q-008</x:v>
      </x:c>
      <x:c r="C42" s="14" t="str">
        <x:v>arxiv systematic pass v0.8 / optimization theory</x:v>
      </x:c>
      <x:c r="D42" s="14" t="str">
        <x:v>2504.08598</x:v>
      </x:c>
      <x:c r="E42" s="14" t="str">
        <x:v>v1</x:v>
      </x:c>
      <x:c r="F42" s="14" t="str">
        <x:v>Graph Coloring via Quantum Optimization on a Rydberg-Qudit Atom Array</x:v>
      </x:c>
      <x:c r="G42" s="14" t="n">
        <x:v>2025</x:v>
      </x:c>
      <x:c r="H42" s="14" t="str">
        <x:v>2025-04-11</x:v>
      </x:c>
      <x:c r="I42" s="14"/>
      <x:c r="J42" s="14" t="str">
        <x:v>quant-ph</x:v>
      </x:c>
      <x:c r="K42" s="14" t="str">
        <x:v>quant-ph</x:v>
      </x:c>
      <x:c r="L42" s="14" t="str">
        <x:v>Rydberg-qudit atom array; graph coloring; optimization</x:v>
      </x:c>
      <x:c r="M42" s="14" t="str">
        <x:v>include</x:v>
      </x:c>
      <x:c r="N42" s="14" t="str">
        <x:v>Algorithmic Rydberg-qudit proposal; relevant but adjacent to direct two-level tweezer processor map.</x:v>
      </x:c>
      <x:c r="O42" s="14" t="str">
        <x:v>Unknown</x:v>
      </x:c>
      <x:c r="P42" s="14" t="str">
        <x:v>Unknown</x:v>
      </x:c>
      <x:c r="Q42" s="14" t="str">
        <x:v>unclear</x:v>
      </x:c>
      <x:c r="R42" s="14" t="str">
        <x:v>Institution pending</x:v>
      </x:c>
      <x:c r="S42" s="14" t="str">
        <x:v>arxiv_search_result_only</x:v>
      </x:c>
      <x:c r="T42" s="14" t="str">
        <x:v>Institution pending</x:v>
      </x:c>
      <x:c r="U42" s="14"/>
      <x:c r="V42" s="14"/>
      <x:c r="W42" s="14"/>
      <x:c r="X42" s="14"/>
      <x:c r="Y42" s="14"/>
      <x:c r="Z42" s="14"/>
      <x:c r="AA42" s="14" t="str">
        <x:v>new</x:v>
      </x:c>
      <x:c r="AB42" s="14"/>
      <x:c r="AC42" s="14" t="str">
        <x:v>https://arxiv.org/abs/2504.08598</x:v>
      </x:c>
      <x:c r="AD42" s="14" t="str">
        <x:v>https://arxiv.org/pdf/2504.08598</x:v>
      </x:c>
      <x:c r="AE42" s="14"/>
      <x:c r="AF42" s="14" t="str">
        <x:v>C</x:v>
      </x:c>
      <x:c r="AG42" s="14" t="str">
        <x:v>Need author/affiliation extraction.</x:v>
      </x:c>
      <x:c r="AH42" s="53" t="b">
        <x:v>1</x:v>
      </x:c>
    </x:row>
    <x:row r="43">
      <x:c r="A43" s="14" t="str">
        <x:v>ARXIV-PI-0042</x:v>
      </x:c>
      <x:c r="B43" s="14" t="str">
        <x:v>Q-007</x:v>
      </x:c>
      <x:c r="C43" s="14" t="str">
        <x:v>arxiv systematic pass v0.8 / squeezing theory</x:v>
      </x:c>
      <x:c r="D43" s="14" t="str">
        <x:v>2507.07875</x:v>
      </x:c>
      <x:c r="E43" s="14" t="str">
        <x:v>v1</x:v>
      </x:c>
      <x:c r="F43" s="14" t="str">
        <x:v>Preparing spin-squeezed states in Rydberg atom arrays via quantum optimal control</x:v>
      </x:c>
      <x:c r="G43" s="14" t="n">
        <x:v>2025</x:v>
      </x:c>
      <x:c r="H43" s="14" t="str">
        <x:v>2025-07-10</x:v>
      </x:c>
      <x:c r="I43" s="14"/>
      <x:c r="J43" s="14" t="str">
        <x:v>quant-ph</x:v>
      </x:c>
      <x:c r="K43" s="14" t="str">
        <x:v>quant-ph</x:v>
      </x:c>
      <x:c r="L43" s="14" t="str">
        <x:v>Rydberg atom arrays; spin squeezing; optimal control; theory</x:v>
      </x:c>
      <x:c r="M43" s="14" t="str">
        <x:v>include</x:v>
      </x:c>
      <x:c r="N43" s="14" t="str">
        <x:v>Theory/control row; same possible CEA/Saclay theory node as ARXIV-PI-0040.</x:v>
      </x:c>
      <x:c r="O43" s="14" t="str">
        <x:v>Grégoire Misguich</x:v>
      </x:c>
      <x:c r="P43" s="14" t="str">
        <x:v>Grégoire Misguich</x:v>
      </x:c>
      <x:c r="Q43" s="14" t="str">
        <x:v>yes</x:v>
      </x:c>
      <x:c r="R43" s="14" t="str">
        <x:v>CEA/IPhT Saclay, manual check</x:v>
      </x:c>
      <x:c r="S43" s="14" t="str">
        <x:v>arxiv_only</x:v>
      </x:c>
      <x:c r="T43" s="14" t="str">
        <x:v>CEA / Institut de Physique Théorique</x:v>
      </x:c>
      <x:c r="U43" s="14"/>
      <x:c r="V43" s="14" t="str">
        <x:v>Saclay</x:v>
      </x:c>
      <x:c r="W43" s="14" t="str">
        <x:v>France</x:v>
      </x:c>
      <x:c r="X43" s="14" t="n">
        <x:v>48.727</x:v>
      </x:c>
      <x:c r="Y43" s="14" t="n">
        <x:v>2.149</x:v>
      </x:c>
      <x:c r="Z43" s="14"/>
      <x:c r="AA43" s="14" t="str">
        <x:v>new</x:v>
      </x:c>
      <x:c r="AB43" s="14"/>
      <x:c r="AC43" s="14" t="str">
        <x:v>https://arxiv.org/abs/2507.07875</x:v>
      </x:c>
      <x:c r="AD43" s="14" t="str">
        <x:v>https://arxiv.org/pdf/2507.07875</x:v>
      </x:c>
      <x:c r="AE43" s="14"/>
      <x:c r="AF43" s="14" t="str">
        <x:v>B</x:v>
      </x:c>
      <x:c r="AG43" s="14" t="str">
        <x:v>May aggregate with Misguich node.</x:v>
      </x:c>
      <x:c r="AH43" s="53" t="b">
        <x:v>1</x:v>
      </x:c>
    </x:row>
    <x:row r="44">
      <x:c r="A44" s="14" t="str">
        <x:v>ARXIV-PI-0043</x:v>
      </x:c>
      <x:c r="B44" s="14" t="str">
        <x:v>Q-007</x:v>
      </x:c>
      <x:c r="C44" s="14" t="str">
        <x:v>arxiv systematic pass v0.8 / many-body theory</x:v>
      </x:c>
      <x:c r="D44" s="14" t="str">
        <x:v>2507.13196</x:v>
      </x:c>
      <x:c r="E44" s="14" t="str">
        <x:v>v1</x:v>
      </x:c>
      <x:c r="F44" s="14" t="str">
        <x:v>Discrete solitons in Rydberg atom chains</x:v>
      </x:c>
      <x:c r="G44" s="14" t="n">
        <x:v>2025</x:v>
      </x:c>
      <x:c r="H44" s="14" t="str">
        <x:v>2025-07-17</x:v>
      </x:c>
      <x:c r="I44" s="14"/>
      <x:c r="J44" s="14" t="str">
        <x:v>quant-ph</x:v>
      </x:c>
      <x:c r="K44" s="14" t="str">
        <x:v>quant-ph</x:v>
      </x:c>
      <x:c r="L44" s="14" t="str">
        <x:v>Rydberg atom chains; solitons; many-body theory</x:v>
      </x:c>
      <x:c r="M44" s="14" t="str">
        <x:v>include</x:v>
      </x:c>
      <x:c r="N44" s="14" t="str">
        <x:v>Rydberg-array-adjacent many-body theory; include in theory layer.</x:v>
      </x:c>
      <x:c r="O44" s="14" t="str">
        <x:v>Maksym Serbyn</x:v>
      </x:c>
      <x:c r="P44" s="14" t="str">
        <x:v>Maksym Serbyn</x:v>
      </x:c>
      <x:c r="Q44" s="14" t="str">
        <x:v>yes</x:v>
      </x:c>
      <x:c r="R44" s="14" t="str">
        <x:v>ISTA, manual check</x:v>
      </x:c>
      <x:c r="S44" s="14" t="str">
        <x:v>arxiv_only</x:v>
      </x:c>
      <x:c r="T44" s="14" t="str">
        <x:v>Institute of Science and Technology Austria</x:v>
      </x:c>
      <x:c r="U44" s="14"/>
      <x:c r="V44" s="14" t="str">
        <x:v>Klosterneuburg</x:v>
      </x:c>
      <x:c r="W44" s="14" t="str">
        <x:v>Austria</x:v>
      </x:c>
      <x:c r="X44" s="14" t="n">
        <x:v>48.305</x:v>
      </x:c>
      <x:c r="Y44" s="14" t="n">
        <x:v>16.325</x:v>
      </x:c>
      <x:c r="Z44" s="14"/>
      <x:c r="AA44" s="14" t="str">
        <x:v>new</x:v>
      </x:c>
      <x:c r="AB44" s="14"/>
      <x:c r="AC44" s="14" t="str">
        <x:v>https://arxiv.org/abs/2507.13196</x:v>
      </x:c>
      <x:c r="AD44" s="14" t="str">
        <x:v>https://arxiv.org/pdf/2507.13196</x:v>
      </x:c>
      <x:c r="AE44" s="14"/>
      <x:c r="AF44" s="14" t="str">
        <x:v>B/C</x:v>
      </x:c>
      <x:c r="AG44" s="14" t="str">
        <x:v>Potentially less tied to optical-tweezer implementation; verify.</x:v>
      </x:c>
      <x:c r="AH44" s="53" t="b">
        <x:v>1</x:v>
      </x:c>
    </x:row>
    <x:row r="45">
      <x:c r="A45" s="14" t="str">
        <x:v>ARXIV-PI-0044</x:v>
      </x:c>
      <x:c r="B45" s="14" t="str">
        <x:v>Q-007</x:v>
      </x:c>
      <x:c r="C45" s="14" t="str">
        <x:v>arxiv systematic pass v0.8 / dual-species theory</x:v>
      </x:c>
      <x:c r="D45" s="14" t="str">
        <x:v>2604.24889</x:v>
      </x:c>
      <x:c r="E45" s="14" t="str">
        <x:v>v1</x:v>
      </x:c>
      <x:c r="F45" s="14" t="str">
        <x:v>Phase diagram of a dual-species Rydberg atom ladder</x:v>
      </x:c>
      <x:c r="G45" s="14" t="n">
        <x:v>2026</x:v>
      </x:c>
      <x:c r="H45" s="14" t="str">
        <x:v>2026-04-30</x:v>
      </x:c>
      <x:c r="I45" s="14"/>
      <x:c r="J45" s="14" t="str">
        <x:v>quant-ph</x:v>
      </x:c>
      <x:c r="K45" s="14" t="str">
        <x:v>quant-ph</x:v>
      </x:c>
      <x:c r="L45" s="14" t="str">
        <x:v>dual-species Rydberg arrays; phase diagram; theory</x:v>
      </x:c>
      <x:c r="M45" s="14" t="str">
        <x:v>include</x:v>
      </x:c>
      <x:c r="N45" s="14" t="str">
        <x:v>Theory row relevant to dual-species Rydberg arrays.</x:v>
      </x:c>
      <x:c r="O45" s="14" t="str">
        <x:v>Unknown</x:v>
      </x:c>
      <x:c r="P45" s="14" t="str">
        <x:v>Unknown</x:v>
      </x:c>
      <x:c r="Q45" s="14" t="str">
        <x:v>unclear</x:v>
      </x:c>
      <x:c r="R45" s="14" t="str">
        <x:v>Institution pending</x:v>
      </x:c>
      <x:c r="S45" s="14" t="str">
        <x:v>arxiv_search_result_only</x:v>
      </x:c>
      <x:c r="T45" s="14" t="str">
        <x:v>Institution pending</x:v>
      </x:c>
      <x:c r="U45" s="14"/>
      <x:c r="V45" s="14"/>
      <x:c r="W45" s="14"/>
      <x:c r="X45" s="14"/>
      <x:c r="Y45" s="14"/>
      <x:c r="Z45" s="14"/>
      <x:c r="AA45" s="14" t="str">
        <x:v>new</x:v>
      </x:c>
      <x:c r="AB45" s="14"/>
      <x:c r="AC45" s="14" t="str">
        <x:v>https://arxiv.org/abs/2604.24889</x:v>
      </x:c>
      <x:c r="AD45" s="14" t="str">
        <x:v>https://arxiv.org/pdf/2604.24889</x:v>
      </x:c>
      <x:c r="AE45" s="14"/>
      <x:c r="AF45" s="14" t="str">
        <x:v>C</x:v>
      </x:c>
      <x:c r="AG45" s="14" t="str">
        <x:v>Need author/affiliation extraction.</x:v>
      </x:c>
      <x:c r="AH45" s="53" t="b">
        <x:v>1</x:v>
      </x:c>
    </x:row>
    <x:row r="46">
      <x:c r="A46" s="14" t="str">
        <x:v>ARXIV-PI-0045</x:v>
      </x:c>
      <x:c r="B46" s="14" t="str">
        <x:v>Q-008</x:v>
      </x:c>
      <x:c r="C46" s="14" t="str">
        <x:v>arxiv systematic pass v0.8 / industrial application</x:v>
      </x:c>
      <x:c r="D46" s="14" t="str">
        <x:v>2404.02658</x:v>
      </x:c>
      <x:c r="E46" s="14" t="str">
        <x:v>v3</x:v>
      </x:c>
      <x:c r="F46" s="14" t="str">
        <x:v>Demonstration of weighted graph optimization on a neutral-atom quantum processor</x:v>
      </x:c>
      <x:c r="G46" s="14" t="n">
        <x:v>2024</x:v>
      </x:c>
      <x:c r="H46" s="14" t="str">
        <x:v>2024-04-03</x:v>
      </x:c>
      <x:c r="I46" s="14"/>
      <x:c r="J46" s="14" t="str">
        <x:v>quant-ph</x:v>
      </x:c>
      <x:c r="K46" s="14" t="str">
        <x:v>quant-ph; physics.atom-ph</x:v>
      </x:c>
      <x:c r="L46" s="14" t="str">
        <x:v>neutral-atom quantum processor; weighted graph optimization; Rydberg blockade</x:v>
      </x:c>
      <x:c r="M46" s="14" t="str">
        <x:v>include</x:v>
      </x:c>
      <x:c r="N46" s="14" t="str">
        <x:v>Likely company/platform demonstration; strong for industrial layer and PASQAL/QuEra-style mapping.</x:v>
      </x:c>
      <x:c r="O46" s="14" t="str">
        <x:v>Unknown</x:v>
      </x:c>
      <x:c r="P46" s="14" t="str">
        <x:v>Unknown</x:v>
      </x:c>
      <x:c r="Q46" s="14" t="str">
        <x:v>unclear</x:v>
      </x:c>
      <x:c r="R46" s="14" t="str">
        <x:v>Institution pending; company/platform likely</x:v>
      </x:c>
      <x:c r="S46" s="14" t="str">
        <x:v>arxiv_search_result_only</x:v>
      </x:c>
      <x:c r="T46" s="14" t="str">
        <x:v>Institution pending</x:v>
      </x:c>
      <x:c r="U46" s="14"/>
      <x:c r="V46" s="14"/>
      <x:c r="W46" s="14"/>
      <x:c r="X46" s="14"/>
      <x:c r="Y46" s="14"/>
      <x:c r="Z46" s="14"/>
      <x:c r="AA46" s="14" t="str">
        <x:v>new</x:v>
      </x:c>
      <x:c r="AB46" s="14"/>
      <x:c r="AC46" s="14" t="str">
        <x:v>https://arxiv.org/abs/2404.02658</x:v>
      </x:c>
      <x:c r="AD46" s="14" t="str">
        <x:v>https://arxiv.org/pdf/2404.02658</x:v>
      </x:c>
      <x:c r="AE46" s="14"/>
      <x:c r="AF46" s="14" t="str">
        <x:v>B</x:v>
      </x:c>
      <x:c r="AG46" s="14" t="str">
        <x:v>Extract full author list/affiliations before company mapping.</x:v>
      </x:c>
      <x:c r="AH46" s="53" t="b">
        <x:v>1</x:v>
      </x:c>
    </x:row>
    <x:row r="47">
      <x:c r="A47" s="14" t="str">
        <x:v>ARXIV-PI-0046</x:v>
      </x:c>
      <x:c r="B47" s="14" t="str">
        <x:v>Q-008</x:v>
      </x:c>
      <x:c r="C47" s="14" t="str">
        <x:v>arxiv systematic pass v0.8 / compiler theory</x:v>
      </x:c>
      <x:c r="D47" s="14" t="str">
        <x:v>2412.14976</x:v>
      </x:c>
      <x:c r="E47" s="14" t="str">
        <x:v>v1</x:v>
      </x:c>
      <x:c r="F47" s="14" t="str">
        <x:v>Quantum Compilation Toolkit for Rydberg Atom Arrays with Implications for Problem Hardness and Quantum Speedups</x:v>
      </x:c>
      <x:c r="G47" s="14" t="n">
        <x:v>2024</x:v>
      </x:c>
      <x:c r="H47" s="14" t="str">
        <x:v>2024-12-19</x:v>
      </x:c>
      <x:c r="I47" s="14"/>
      <x:c r="J47" s="14" t="str">
        <x:v>quant-ph</x:v>
      </x:c>
      <x:c r="K47" s="14" t="str">
        <x:v>quant-ph</x:v>
      </x:c>
      <x:c r="L47" s="14" t="str">
        <x:v>Rydberg atom arrays; compilation; speedups; optimization</x:v>
      </x:c>
      <x:c r="M47" s="14" t="str">
        <x:v>include</x:v>
      </x:c>
      <x:c r="N47" s="14" t="str">
        <x:v>Software/compilation layer; likely relevant for future ecosystem website tags.</x:v>
      </x:c>
      <x:c r="O47" s="14" t="str">
        <x:v>Helmut G. Katzgraber</x:v>
      </x:c>
      <x:c r="P47" s="14" t="str">
        <x:v>Helmut G. Katzgraber</x:v>
      </x:c>
      <x:c r="Q47" s="14" t="str">
        <x:v>yes</x:v>
      </x:c>
      <x:c r="R47" s="14" t="str">
        <x:v>Institution pending; industry/academic mixed possible</x:v>
      </x:c>
      <x:c r="S47" s="14" t="str">
        <x:v>arxiv_only</x:v>
      </x:c>
      <x:c r="T47" s="14" t="str">
        <x:v>Institution pending</x:v>
      </x:c>
      <x:c r="U47" s="14"/>
      <x:c r="V47" s="14"/>
      <x:c r="W47" s="14"/>
      <x:c r="X47" s="14"/>
      <x:c r="Y47" s="14"/>
      <x:c r="Z47" s="14"/>
      <x:c r="AA47" s="14" t="str">
        <x:v>new</x:v>
      </x:c>
      <x:c r="AB47" s="14"/>
      <x:c r="AC47" s="14" t="str">
        <x:v>https://arxiv.org/abs/2412.14976</x:v>
      </x:c>
      <x:c r="AD47" s="14" t="str">
        <x:v>https://arxiv.org/pdf/2412.14976</x:v>
      </x:c>
      <x:c r="AE47" s="14"/>
      <x:c r="AF47" s="14" t="str">
        <x:v>B/C</x:v>
      </x:c>
      <x:c r="AG47" s="14" t="str">
        <x:v>Need affiliation and company link validation.</x:v>
      </x:c>
      <x:c r="AH47" s="53" t="b">
        <x:v>1</x:v>
      </x:c>
    </x:row>
    <x:row r="48">
      <x:c r="A48" s="14" t="str">
        <x:v>ARXIV-PI-0047</x:v>
      </x:c>
      <x:c r="B48" s="14" t="str">
        <x:v>Q-007</x:v>
      </x:c>
      <x:c r="C48" s="14" t="str">
        <x:v>arxiv systematic pass v0.8 / metrology/squeezing theory</x:v>
      </x:c>
      <x:c r="D48" s="14" t="str">
        <x:v>2605.00096</x:v>
      </x:c>
      <x:c r="E48" s="14" t="str">
        <x:v>v1</x:v>
      </x:c>
      <x:c r="F48" s="14" t="str">
        <x:v>Scalable spin-nematic squeezing in multi-level dipole-interacting Rydberg atom arrays</x:v>
      </x:c>
      <x:c r="G48" s="14" t="n">
        <x:v>2026</x:v>
      </x:c>
      <x:c r="H48" s="14" t="str">
        <x:v>2026-04-30</x:v>
      </x:c>
      <x:c r="I48" s="14"/>
      <x:c r="J48" s="14" t="str">
        <x:v>quant-ph</x:v>
      </x:c>
      <x:c r="K48" s="14" t="str">
        <x:v>quant-ph</x:v>
      </x:c>
      <x:c r="L48" s="14" t="str">
        <x:v>Rydberg atom arrays; spin-nematic squeezing; metrology; theory</x:v>
      </x:c>
      <x:c r="M48" s="14" t="str">
        <x:v>include</x:v>
      </x:c>
      <x:c r="N48" s="14" t="str">
        <x:v>Theory/metrology row; adjacent but relevant to Rydberg array applications.</x:v>
      </x:c>
      <x:c r="O48" s="14" t="str">
        <x:v>Thomas Bilitewski</x:v>
      </x:c>
      <x:c r="P48" s="14" t="str">
        <x:v>Thomas Bilitewski</x:v>
      </x:c>
      <x:c r="Q48" s="14" t="str">
        <x:v>yes</x:v>
      </x:c>
      <x:c r="R48" s="14" t="str">
        <x:v>Institution pending</x:v>
      </x:c>
      <x:c r="S48" s="14" t="str">
        <x:v>arxiv_only</x:v>
      </x:c>
      <x:c r="T48" s="14" t="str">
        <x:v>Institution pending</x:v>
      </x:c>
      <x:c r="U48" s="14"/>
      <x:c r="V48" s="14"/>
      <x:c r="W48" s="14"/>
      <x:c r="X48" s="14"/>
      <x:c r="Y48" s="14"/>
      <x:c r="Z48" s="14"/>
      <x:c r="AA48" s="14" t="str">
        <x:v>new</x:v>
      </x:c>
      <x:c r="AB48" s="14"/>
      <x:c r="AC48" s="14" t="str">
        <x:v>https://arxiv.org/abs/2605.00096</x:v>
      </x:c>
      <x:c r="AD48" s="14" t="str">
        <x:v>https://arxiv.org/pdf/2605.00096</x:v>
      </x:c>
      <x:c r="AE48" s="14"/>
      <x:c r="AF48" s="14" t="str">
        <x:v>C</x:v>
      </x:c>
      <x:c r="AG48" s="14" t="str">
        <x:v>Verify affiliation and whether optical tweezers are explicit.</x:v>
      </x:c>
      <x:c r="AH48" s="53" t="b">
        <x:v>1</x:v>
      </x:c>
    </x:row>
    <x:row r="49">
      <x:c r="A49" s="14" t="str">
        <x:v>ARXIV-PI-0048</x:v>
      </x:c>
      <x:c r="B49" s="14" t="str">
        <x:v>Q-009</x:v>
      </x:c>
      <x:c r="C49" s="14" t="str">
        <x:v>arxiv systematic pass v0.8 / interface experimental</x:v>
      </x:c>
      <x:c r="D49" s="14" t="str">
        <x:v>2602.12152</x:v>
      </x:c>
      <x:c r="E49" s="14" t="str">
        <x:v>v1</x:v>
      </x:c>
      <x:c r="F49" s="14" t="str">
        <x:v>Realization of a cavity-coupled Rydberg array</x:v>
      </x:c>
      <x:c r="G49" s="14" t="n">
        <x:v>2026</x:v>
      </x:c>
      <x:c r="H49" s="14" t="str">
        <x:v>2026-02-12</x:v>
      </x:c>
      <x:c r="I49" s="14"/>
      <x:c r="J49" s="14" t="str">
        <x:v>quant-ph</x:v>
      </x:c>
      <x:c r="K49" s="14" t="str">
        <x:v>quant-ph</x:v>
      </x:c>
      <x:c r="L49" s="14" t="str">
        <x:v>Rydberg array; cavity QED; neutral atoms; interfaces</x:v>
      </x:c>
      <x:c r="M49" s="14" t="str">
        <x:v>include</x:v>
      </x:c>
      <x:c r="N49" s="14" t="str">
        <x:v>Important interface/cavity-coupled Rydberg array node; likely experimental.</x:v>
      </x:c>
      <x:c r="O49" s="14" t="str">
        <x:v>Unknown</x:v>
      </x:c>
      <x:c r="P49" s="14" t="str">
        <x:v>Unknown</x:v>
      </x:c>
      <x:c r="Q49" s="14" t="str">
        <x:v>unclear</x:v>
      </x:c>
      <x:c r="R49" s="14" t="str">
        <x:v>Institution pending</x:v>
      </x:c>
      <x:c r="S49" s="14" t="str">
        <x:v>arxiv_search_result_only</x:v>
      </x:c>
      <x:c r="T49" s="14" t="str">
        <x:v>Institution pending</x:v>
      </x:c>
      <x:c r="U49" s="14"/>
      <x:c r="V49" s="14"/>
      <x:c r="W49" s="14"/>
      <x:c r="X49" s="14"/>
      <x:c r="Y49" s="14"/>
      <x:c r="Z49" s="14"/>
      <x:c r="AA49" s="14" t="str">
        <x:v>new</x:v>
      </x:c>
      <x:c r="AB49" s="14"/>
      <x:c r="AC49" s="14" t="str">
        <x:v>https://arxiv.org/abs/2602.12152</x:v>
      </x:c>
      <x:c r="AD49" s="14" t="str">
        <x:v>https://arxiv.org/pdf/2602.12152</x:v>
      </x:c>
      <x:c r="AE49" s="14"/>
      <x:c r="AF49" s="14" t="str">
        <x:v>B</x:v>
      </x:c>
      <x:c r="AG49" s="14" t="str">
        <x:v>Extract full authors/affiliations; may link to Covey/UIUC or similar interface node.</x:v>
      </x:c>
      <x:c r="AH49" s="53" t="b">
        <x:v>1</x:v>
      </x:c>
    </x:row>
    <x:row r="50">
      <x:c r="A50" s="14" t="str">
        <x:v>ARXIV-PI-0049</x:v>
      </x:c>
      <x:c r="B50" s="14" t="str">
        <x:v>Q-007</x:v>
      </x:c>
      <x:c r="C50" s="14" t="str">
        <x:v>arxiv systematic pass v0.8 / ML many-body theory</x:v>
      </x:c>
      <x:c r="D50" s="14" t="str">
        <x:v>2405.20384</x:v>
      </x:c>
      <x:c r="E50" s="14" t="str">
        <x:v>v2</x:v>
      </x:c>
      <x:c r="F50" s="14" t="str">
        <x:v>Recurrent neural network wave functions for Rydberg atom arrays on kagome lattice</x:v>
      </x:c>
      <x:c r="G50" s="14" t="n">
        <x:v>2024</x:v>
      </x:c>
      <x:c r="H50" s="14" t="str">
        <x:v>2024-05-30</x:v>
      </x:c>
      <x:c r="I50" s="14"/>
      <x:c r="J50" s="14" t="str">
        <x:v>quant-ph</x:v>
      </x:c>
      <x:c r="K50" s="14" t="str">
        <x:v>quant-ph</x:v>
      </x:c>
      <x:c r="L50" s="14" t="str">
        <x:v>Rydberg atom arrays; kagome lattice; neural network wave functions; theory</x:v>
      </x:c>
      <x:c r="M50" s="14" t="str">
        <x:v>include</x:v>
      </x:c>
      <x:c r="N50" s="14" t="str">
        <x:v>Theory/ML row for Rydberg arrays; useful for theory layer.</x:v>
      </x:c>
      <x:c r="O50" s="14" t="str">
        <x:v>Juan Carrasquilla</x:v>
      </x:c>
      <x:c r="P50" s="14" t="str">
        <x:v>Juan Carrasquilla</x:v>
      </x:c>
      <x:c r="Q50" s="14" t="str">
        <x:v>yes</x:v>
      </x:c>
      <x:c r="R50" s="14" t="str">
        <x:v>Institution pending; likely Vector Institute/Waterloo ecosystem</x:v>
      </x:c>
      <x:c r="S50" s="14" t="str">
        <x:v>arxiv_only</x:v>
      </x:c>
      <x:c r="T50" s="14" t="str">
        <x:v>Institution pending</x:v>
      </x:c>
      <x:c r="U50" s="14"/>
      <x:c r="V50" s="14"/>
      <x:c r="W50" s="14"/>
      <x:c r="X50" s="14"/>
      <x:c r="Y50" s="14"/>
      <x:c r="Z50" s="14"/>
      <x:c r="AA50" s="14" t="str">
        <x:v>new</x:v>
      </x:c>
      <x:c r="AB50" s="14"/>
      <x:c r="AC50" s="14" t="str">
        <x:v>https://arxiv.org/abs/2405.20384</x:v>
      </x:c>
      <x:c r="AD50" s="14" t="str">
        <x:v>https://arxiv.org/pdf/2405.20384</x:v>
      </x:c>
      <x:c r="AE50" s="14"/>
      <x:c r="AF50" s="14" t="str">
        <x:v>B/C</x:v>
      </x:c>
      <x:c r="AG50" s="14" t="str">
        <x:v>Affiliation should be normalized before promotion.</x:v>
      </x:c>
      <x:c r="AH50" s="53" t="b">
        <x:v>1</x:v>
      </x:c>
    </x:row>
    <x:row r="51">
      <x:c r="A51" s="14" t="str">
        <x:v>ARXIV-PI-0050</x:v>
      </x:c>
      <x:c r="B51" s="14" t="str">
        <x:v>Q-009</x:v>
      </x:c>
      <x:c r="C51" s="14" t="str">
        <x:v>arxiv systematic pass v0.8 / networking architecture</x:v>
      </x:c>
      <x:c r="D51" s="14" t="str">
        <x:v>2408.08955</x:v>
      </x:c>
      <x:c r="E51" s="14" t="str">
        <x:v>v1</x:v>
      </x:c>
      <x:c r="F51" s="14" t="str">
        <x:v>Fault-tolerant optical interconnects for neutral-atom arrays</x:v>
      </x:c>
      <x:c r="G51" s="14" t="n">
        <x:v>2024</x:v>
      </x:c>
      <x:c r="H51" s="14" t="str">
        <x:v>2024-08-16</x:v>
      </x:c>
      <x:c r="I51" s="14"/>
      <x:c r="J51" s="14" t="str">
        <x:v>quant-ph</x:v>
      </x:c>
      <x:c r="K51" s="14" t="str">
        <x:v>quant-ph</x:v>
      </x:c>
      <x:c r="L51" s="14" t="str">
        <x:v>neutral atom arrays; optical interconnects; Rydberg gates; modular QC</x:v>
      </x:c>
      <x:c r="M51" s="14" t="str">
        <x:v>include</x:v>
      </x:c>
      <x:c r="N51" s="14" t="str">
        <x:v>Architecture/networking paper explicitly combining local Rydberg gates and photonic links.</x:v>
      </x:c>
      <x:c r="O51" s="14" t="str">
        <x:v>Vladan Vuletić</x:v>
      </x:c>
      <x:c r="P51" s="14" t="str">
        <x:v>Vladan Vuletić</x:v>
      </x:c>
      <x:c r="Q51" s="14" t="str">
        <x:v>yes</x:v>
      </x:c>
      <x:c r="R51" s="14" t="str">
        <x:v>MIT</x:v>
      </x:c>
      <x:c r="S51" s="14" t="str">
        <x:v>arxiv_only</x:v>
      </x:c>
      <x:c r="T51" s="14" t="str">
        <x:v>Massachusetts Institute of Technology</x:v>
      </x:c>
      <x:c r="U51" s="14"/>
      <x:c r="V51" s="14" t="str">
        <x:v>Cambridge</x:v>
      </x:c>
      <x:c r="W51" s="14" t="str">
        <x:v>United States</x:v>
      </x:c>
      <x:c r="X51" s="14" t="n">
        <x:v>42.3601</x:v>
      </x:c>
      <x:c r="Y51" s="14" t="n">
        <x:v>-71.0942</x:v>
      </x:c>
      <x:c r="Z51" s="14" t="str">
        <x:v>E-030</x:v>
      </x:c>
      <x:c r="AA51" s="14" t="str">
        <x:v>matched</x:v>
      </x:c>
      <x:c r="AB51" s="14"/>
      <x:c r="AC51" s="14" t="str">
        <x:v>https://arxiv.org/abs/2408.08955</x:v>
      </x:c>
      <x:c r="AD51" s="14" t="str">
        <x:v>https://arxiv.org/pdf/2408.08955</x:v>
      </x:c>
      <x:c r="AE51" s="14"/>
      <x:c r="AF51" s="14" t="str">
        <x:v>B</x:v>
      </x:c>
      <x:c r="AG51" s="14" t="str">
        <x:v>Strengthens MIT/Vuletic interface/architecture node.</x:v>
      </x:c>
      <x:c r="AH51" s="53" t="b">
        <x:v>1</x:v>
      </x:c>
    </x:row>
    <x:row r="52" ht="54" customHeight="1">
      <x:c r="A52" s="14" t="str">
        <x:v>ARXIV-PI-0051</x:v>
      </x:c>
      <x:c r="B52" s="14" t="str">
        <x:v>Q-023</x:v>
      </x:c>
      <x:c r="C52" s="14" t="str">
        <x:v>arxiv v1.1 theory gates/QEC</x:v>
      </x:c>
      <x:c r="D52" s="14" t="str">
        <x:v>2408.17048</x:v>
      </x:c>
      <x:c r="E52" s="14" t="str">
        <x:v>v1</x:v>
      </x:c>
      <x:c r="F52" s="14" t="str">
        <x:v>Efficient generation of multiqubit entanglement states using rapid adiabatic passage</x:v>
      </x:c>
      <x:c r="G52" s="14" t="n">
        <x:v>2024</x:v>
      </x:c>
      <x:c r="H52" s="14" t="str">
        <x:v>2024-08-30</x:v>
      </x:c>
      <x:c r="I52" s="14"/>
      <x:c r="J52" s="14" t="str">
        <x:v>quant-ph</x:v>
      </x:c>
      <x:c r="K52" s="14" t="str">
        <x:v>quant-ph</x:v>
      </x:c>
      <x:c r="L52" s="14" t="str">
        <x:v>Rydberg atom array; rapid adiabatic passage; entanglement; blockade</x:v>
      </x:c>
      <x:c r="M52" s="14" t="str">
        <x:v>include</x:v>
      </x:c>
      <x:c r="N52" s="14" t="str">
        <x:v>Theory/control paper; useful to identify gate-protocol groups but affiliation still unresolved.</x:v>
      </x:c>
      <x:c r="O52" s="14" t="str">
        <x:v>Ming Xue</x:v>
      </x:c>
      <x:c r="P52" s="14" t="str">
        <x:v>Ming Xue</x:v>
      </x:c>
      <x:c r="Q52" s="14" t="str">
        <x:v>yes</x:v>
      </x:c>
      <x:c r="R52" s="14" t="str">
        <x:v>Institution pending</x:v>
      </x:c>
      <x:c r="S52" s="14" t="str">
        <x:v>arxiv_abs_only</x:v>
      </x:c>
      <x:c r="T52" s="14" t="str">
        <x:v>Institution pending</x:v>
      </x:c>
      <x:c r="U52" s="14"/>
      <x:c r="V52" s="14"/>
      <x:c r="W52" s="14"/>
      <x:c r="X52" s="14"/>
      <x:c r="Y52" s="14"/>
      <x:c r="Z52" s="14"/>
      <x:c r="AA52" s="14" t="str">
        <x:v>new_candidate</x:v>
      </x:c>
      <x:c r="AB52" s="14"/>
      <x:c r="AC52" s="14" t="str">
        <x:v>https://arxiv.org/abs/2408.17048</x:v>
      </x:c>
      <x:c r="AD52" s="14" t="str">
        <x:v>https://arxiv.org/pdf/2408.17048</x:v>
      </x:c>
      <x:c r="AE52" s="14"/>
      <x:c r="AF52" s="14" t="str">
        <x:v>C/B</x:v>
      </x:c>
      <x:c r="AG52" s="14" t="str">
        <x:v>Paper title/author/date from arXiv; mark for affiliation extraction before promotion.</x:v>
      </x:c>
      <x:c r="AH52" s="53" t="b">
        <x:v>1</x:v>
      </x:c>
    </x:row>
    <x:row r="53" ht="54" customHeight="1">
      <x:c r="A53" s="14" t="str">
        <x:v>ARXIV-PI-0052</x:v>
      </x:c>
      <x:c r="B53" s="14" t="str">
        <x:v>Q-024</x:v>
      </x:c>
      <x:c r="C53" s="14" t="str">
        <x:v>arxiv v1.1 global-control/analog</x:v>
      </x:c>
      <x:c r="D53" s="14" t="str">
        <x:v>2508.19075</x:v>
      </x:c>
      <x:c r="E53" s="14" t="str">
        <x:v>v1</x:v>
      </x:c>
      <x:c r="F53" s="14" t="str">
        <x:v>Universal Dynamics with Globally Controlled Analog Quantum Simulators</x:v>
      </x:c>
      <x:c r="G53" s="14" t="n">
        <x:v>2025</x:v>
      </x:c>
      <x:c r="H53" s="14" t="str">
        <x:v>2025-08-26</x:v>
      </x:c>
      <x:c r="I53" s="14"/>
      <x:c r="J53" s="14" t="str">
        <x:v>quant-ph</x:v>
      </x:c>
      <x:c r="K53" s="14" t="str">
        <x:v>quant-ph; cond-mat.quant-gas; cond-mat.str-el; cs.LG; eess.SY</x:v>
      </x:c>
      <x:c r="L53" s="14" t="str">
        <x:v>globally controlled analog simulator; Rydberg atom array; optimal control; topological dynamics</x:v>
      </x:c>
      <x:c r="M53" s="14" t="str">
        <x:v>include</x:v>
      </x:c>
      <x:c r="N53" s="14" t="str">
        <x:v>Theory + experimental demonstration signal; important for global-control analog branch.</x:v>
      </x:c>
      <x:c r="O53" s="14" t="str">
        <x:v>Susanne F. Yelin</x:v>
      </x:c>
      <x:c r="P53" s="14" t="str">
        <x:v>Susanne F. Yelin</x:v>
      </x:c>
      <x:c r="Q53" s="14" t="str">
        <x:v>yes</x:v>
      </x:c>
      <x:c r="R53" s="14" t="str">
        <x:v>Institution pending</x:v>
      </x:c>
      <x:c r="S53" s="14" t="str">
        <x:v>arxiv_abs_html_no_affiliation</x:v>
      </x:c>
      <x:c r="T53" s="14" t="str">
        <x:v>Institution pending</x:v>
      </x:c>
      <x:c r="U53" s="14"/>
      <x:c r="V53" s="14"/>
      <x:c r="W53" s="14"/>
      <x:c r="X53" s="14"/>
      <x:c r="Y53" s="14"/>
      <x:c r="Z53" s="14"/>
      <x:c r="AA53" s="14" t="str">
        <x:v>new_candidate</x:v>
      </x:c>
      <x:c r="AB53" s="14"/>
      <x:c r="AC53" s="14" t="str">
        <x:v>https://arxiv.org/abs/2508.19075</x:v>
      </x:c>
      <x:c r="AD53" s="14" t="str">
        <x:v>https://arxiv.org/pdf/2508.19075</x:v>
      </x:c>
      <x:c r="AE53" s="14"/>
      <x:c r="AF53" s="14" t="str">
        <x:v>B</x:v>
      </x:c>
      <x:c r="AG53" s="14" t="str">
        <x:v>Strong conceptual relevance but affiliation should be resolved from PDF/official page.</x:v>
      </x:c>
      <x:c r="AH53" s="53" t="b">
        <x:v>1</x:v>
      </x:c>
    </x:row>
    <x:row r="54" ht="54" customHeight="1">
      <x:c r="A54" s="14" t="str">
        <x:v>ARXIV-PI-0053</x:v>
      </x:c>
      <x:c r="B54" s="14" t="str">
        <x:v>Q-025</x:v>
      </x:c>
      <x:c r="C54" s="14" t="str">
        <x:v>arxiv v1.1 applications/QuEra</x:v>
      </x:c>
      <x:c r="D54" s="14" t="str">
        <x:v>2512.18612</x:v>
      </x:c>
      <x:c r="E54" s="14" t="str">
        <x:v>v1</x:v>
      </x:c>
      <x:c r="F54" s="14" t="str">
        <x:v>Image Denoising via Quantum Reservoir Computing</x:v>
      </x:c>
      <x:c r="G54" s="14" t="n">
        <x:v>2025</x:v>
      </x:c>
      <x:c r="H54" s="14" t="str">
        <x:v>2025-12-21</x:v>
      </x:c>
      <x:c r="I54" s="14"/>
      <x:c r="J54" s="14" t="str">
        <x:v>quant-ph</x:v>
      </x:c>
      <x:c r="K54" s="14" t="str">
        <x:v>quant-ph</x:v>
      </x:c>
      <x:c r="L54" s="14" t="str">
        <x:v>Rydberg atom array; quantum reservoir computing; QuEra Aquila; application</x:v>
      </x:c>
      <x:c r="M54" s="14" t="str">
        <x:v>include</x:v>
      </x:c>
      <x:c r="N54" s="14" t="str">
        <x:v>Application-layer paper using QuEra Aquila programmable atom arrays.</x:v>
      </x:c>
      <x:c r="O54" s="14" t="str">
        <x:v>Jingbo B. Wang</x:v>
      </x:c>
      <x:c r="P54" s="14" t="str">
        <x:v>Jingbo B. Wang</x:v>
      </x:c>
      <x:c r="Q54" s="14" t="str">
        <x:v>yes</x:v>
      </x:c>
      <x:c r="R54" s="14" t="str">
        <x:v>Institution pending</x:v>
      </x:c>
      <x:c r="S54" s="14" t="str">
        <x:v>arxiv_abs_only</x:v>
      </x:c>
      <x:c r="T54" s="14" t="str">
        <x:v>Institution pending</x:v>
      </x:c>
      <x:c r="U54" s="14"/>
      <x:c r="V54" s="14"/>
      <x:c r="W54" s="14"/>
      <x:c r="X54" s="14"/>
      <x:c r="Y54" s="14"/>
      <x:c r="Z54" s="14"/>
      <x:c r="AA54" s="14" t="str">
        <x:v>new_candidate</x:v>
      </x:c>
      <x:c r="AB54" s="14"/>
      <x:c r="AC54" s="14" t="str">
        <x:v>https://arxiv.org/abs/2512.18612</x:v>
      </x:c>
      <x:c r="AD54" s="14" t="str">
        <x:v>https://arxiv.org/pdf/2512.18612</x:v>
      </x:c>
      <x:c r="AE54" s="14"/>
      <x:c r="AF54" s="14" t="str">
        <x:v>C/B</x:v>
      </x:c>
      <x:c r="AG54" s="14" t="str">
        <x:v>Keep as application/software layer; not a new hardware group unless affiliation/use case proves strategic.</x:v>
      </x:c>
      <x:c r="AH54" s="53" t="b">
        <x:v>1</x:v>
      </x:c>
    </x:row>
    <x:row r="55" ht="54" customHeight="1">
      <x:c r="A55" s="14" t="str">
        <x:v>ARXIV-PI-0054</x:v>
      </x:c>
      <x:c r="B55" s="14" t="str">
        <x:v>Q-022</x:v>
      </x:c>
      <x:c r="C55" s="14" t="str">
        <x:v>arxiv v1.1 architecture dual-type</x:v>
      </x:c>
      <x:c r="D55" s="14" t="str">
        <x:v>2503.16896</x:v>
      </x:c>
      <x:c r="E55" s="14" t="str">
        <x:v>v1</x:v>
      </x:c>
      <x:c r="F55" s="14" t="str">
        <x:v>Dual-type dual-element atom arrays for quantum information processing</x:v>
      </x:c>
      <x:c r="G55" s="14" t="n">
        <x:v>2025</x:v>
      </x:c>
      <x:c r="H55" s="14" t="str">
        <x:v>2025-03-21</x:v>
      </x:c>
      <x:c r="I55" s="14"/>
      <x:c r="J55" s="14" t="str">
        <x:v>quant-ph</x:v>
      </x:c>
      <x:c r="K55" s="14" t="str">
        <x:v>quant-ph</x:v>
      </x:c>
      <x:c r="L55" s="14" t="str">
        <x:v>dual-element atom arrays; Rydberg interactions; mid-circuit readout; QEC architecture</x:v>
      </x:c>
      <x:c r="M55" s="14" t="str">
        <x:v>include</x:v>
      </x:c>
      <x:c r="N55" s="14" t="str">
        <x:v>Architecture/theory proposal explicitly leveraging Rydberg states and optical-tweezer-based arrays.</x:v>
      </x:c>
      <x:c r="O55" s="14" t="str">
        <x:v>Wenchao Xu</x:v>
      </x:c>
      <x:c r="P55" s="14" t="str">
        <x:v>Wenchao Xu</x:v>
      </x:c>
      <x:c r="Q55" s="14" t="str">
        <x:v>yes</x:v>
      </x:c>
      <x:c r="R55" s="14" t="str">
        <x:v>ETH Zürich / Paul Scherrer Institut</x:v>
      </x:c>
      <x:c r="S55" s="14" t="str">
        <x:v>arxiv_html</x:v>
      </x:c>
      <x:c r="T55" s="14" t="str">
        <x:v>ETH Zürich / Paul Scherrer Institut</x:v>
      </x:c>
      <x:c r="U55" s="14"/>
      <x:c r="V55" s="14" t="str">
        <x:v>Zürich / Villigen</x:v>
      </x:c>
      <x:c r="W55" s="14" t="str">
        <x:v>Switzerland</x:v>
      </x:c>
      <x:c r="X55" s="14" t="n">
        <x:v>47.3769</x:v>
      </x:c>
      <x:c r="Y55" s="14" t="n">
        <x:v>8.5417</x:v>
      </x:c>
      <x:c r="Z55" s="14"/>
      <x:c r="AA55" s="14" t="str">
        <x:v>new_candidate</x:v>
      </x:c>
      <x:c r="AB55" s="14"/>
      <x:c r="AC55" s="14" t="str">
        <x:v>https://arxiv.org/abs/2503.16896</x:v>
      </x:c>
      <x:c r="AD55" s="14" t="str">
        <x:v>https://arxiv.org/pdf/2503.16896</x:v>
      </x:c>
      <x:c r="AE55" s="14"/>
      <x:c r="AF55" s="14" t="str">
        <x:v>B</x:v>
      </x:c>
      <x:c r="AG55" s="14" t="str">
        <x:v>Potential ETH/PSI architecture node; verify whether senior PI should be another group lead.</x:v>
      </x:c>
      <x:c r="AH55" s="53" t="b">
        <x:v>0</x:v>
      </x:c>
    </x:row>
    <x:row r="56" ht="54" customHeight="1">
      <x:c r="A56" s="14" t="str">
        <x:v>ARXIV-PI-0055</x:v>
      </x:c>
      <x:c r="B56" s="14" t="str">
        <x:v>Q-019</x:v>
      </x:c>
      <x:c r="C56" s="14" t="str">
        <x:v>arxiv v1.1 theory finite-temperature</x:v>
      </x:c>
      <x:c r="D56" s="14" t="str">
        <x:v>2503.18413</x:v>
      </x:c>
      <x:c r="E56" s="53" t="b">
        <x:v>0</x:v>
      </x:c>
      <x:c r="F56" s="14" t="str">
        <x:v>Exploring the Finite-Temperature Behavior of Rydberg Atom Arrays: A Tensor Network Approach</x:v>
      </x:c>
      <x:c r="G56" s="14" t="n">
        <x:v>2025</x:v>
      </x:c>
      <x:c r="H56" s="14" t="str">
        <x:v>2025-03-24</x:v>
      </x:c>
      <x:c r="I56" s="14"/>
      <x:c r="J56" s="14" t="str">
        <x:v>quant-ph</x:v>
      </x:c>
      <x:c r="K56" s="14" t="str">
        <x:v>quant-ph</x:v>
      </x:c>
      <x:c r="L56" s="14" t="str">
        <x:v>Rydberg atom arrays; PEPS; finite temperature; theory</x:v>
      </x:c>
      <x:c r="M56" s="14" t="str">
        <x:v>include</x:v>
      </x:c>
      <x:c r="N56" s="14" t="str">
        <x:v>Theoretical Rydberg-array paper with clean affiliation from arXiv HTML.</x:v>
      </x:c>
      <x:c r="O56" s="14" t="str">
        <x:v>Lixin He</x:v>
      </x:c>
      <x:c r="P56" s="14" t="str">
        <x:v>Lixin He</x:v>
      </x:c>
      <x:c r="Q56" s="14" t="str">
        <x:v>yes</x:v>
      </x:c>
      <x:c r="R56" s="14" t="str">
        <x:v>University of Science and Technology of China / Hefei National Laboratory</x:v>
      </x:c>
      <x:c r="S56" s="14" t="str">
        <x:v>arxiv_html</x:v>
      </x:c>
      <x:c r="T56" s="14" t="str">
        <x:v>University of Science and Technology of China</x:v>
      </x:c>
      <x:c r="U56" s="14"/>
      <x:c r="V56" s="14"/>
      <x:c r="W56" s="14" t="str">
        <x:v>Hefei</x:v>
      </x:c>
      <x:c r="X56" s="14" t="str">
        <x:v>China</x:v>
      </x:c>
      <x:c r="Y56" s="14" t="n">
        <x:v>31.8206</x:v>
      </x:c>
      <x:c r="Z56" s="14" t="n">
        <x:v>117.2272</x:v>
      </x:c>
      <x:c r="AA56" s="14"/>
      <x:c r="AB56" s="14" t="str">
        <x:v>new_candidate</x:v>
      </x:c>
      <x:c r="AC56" s="14" t="str">
        <x:v>https://arxiv.org/abs/2503.18413</x:v>
      </x:c>
      <x:c r="AD56" s="14" t="str">
        <x:v>https://arxiv.org/pdf/2503.18413</x:v>
      </x:c>
      <x:c r="AE56" s="14"/>
      <x:c r="AF56" s="14"/>
      <x:c r="AG56" s="14" t="str">
        <x:v>B</x:v>
      </x:c>
      <x:c r="AH56" s="14" t="str">
        <x:v>Candidate theory node; affiliation resolved but strategic relevance should be assessed against other USTC/Pan rows.</x:v>
      </x:c>
    </x:row>
    <x:row r="57" ht="54" customHeight="1">
      <x:c r="A57" s="14" t="str">
        <x:v>ARXIV-PI-0056</x:v>
      </x:c>
      <x:c r="B57" s="14" t="str">
        <x:v>Q-018</x:v>
      </x:c>
      <x:c r="C57" s="14" t="str">
        <x:v>arxiv v1.1 3D tweezer architecture</x:v>
      </x:c>
      <x:c r="D57" s="14" t="str">
        <x:v>2501.05935</x:v>
      </x:c>
      <x:c r="E57" s="53" t="b">
        <x:v>0</x:v>
      </x:c>
      <x:c r="F57" s="14" t="str">
        <x:v>Plane-selective manipulations of nuclear spin qubits in a three-dimensional optical tweezer array</x:v>
      </x:c>
      <x:c r="G57" s="14" t="n">
        <x:v>2025</x:v>
      </x:c>
      <x:c r="H57" s="14" t="str">
        <x:v>2025-01-10</x:v>
      </x:c>
      <x:c r="I57" s="14"/>
      <x:c r="J57" s="14" t="str">
        <x:v>quant-ph</x:v>
      </x:c>
      <x:c r="K57" s="14" t="str">
        <x:v>quant-ph</x:v>
      </x:c>
      <x:c r="L57" s="14" t="str">
        <x:v>3D optical tweezer array; Rydberg-mediated entanglement; Yb/Sr-like alkaline-earth; QEC scaling</x:v>
      </x:c>
      <x:c r="M57" s="14" t="str">
        <x:v>include</x:v>
      </x:c>
      <x:c r="N57" s="14" t="str">
        <x:v>Adjacent/core architecture paper for 3D tweezer arrays; not itself a Rydberg-gate result but relevant.</x:v>
      </x:c>
      <x:c r="O57" s="14" t="str">
        <x:v>Yoshiro Takahashi</x:v>
      </x:c>
      <x:c r="P57" s="14" t="str">
        <x:v>Yoshiro Takahashi</x:v>
      </x:c>
      <x:c r="Q57" s="14" t="str">
        <x:v>yes</x:v>
      </x:c>
      <x:c r="R57" s="14" t="str">
        <x:v>Kyoto University</x:v>
      </x:c>
      <x:c r="S57" s="14" t="str">
        <x:v>arxiv_html</x:v>
      </x:c>
      <x:c r="T57" s="14" t="str">
        <x:v>Kyoto University</x:v>
      </x:c>
      <x:c r="U57" s="14"/>
      <x:c r="V57" s="14"/>
      <x:c r="W57" s="14" t="str">
        <x:v>Kyoto</x:v>
      </x:c>
      <x:c r="X57" s="14" t="str">
        <x:v>Japan</x:v>
      </x:c>
      <x:c r="Y57" s="14" t="n">
        <x:v>35.0116</x:v>
      </x:c>
      <x:c r="Z57" s="14" t="n">
        <x:v>135.7681</x:v>
      </x:c>
      <x:c r="AA57" s="14"/>
      <x:c r="AB57" s="14" t="str">
        <x:v>new_candidate</x:v>
      </x:c>
      <x:c r="AC57" s="14" t="str">
        <x:v>https://arxiv.org/abs/2501.05935</x:v>
      </x:c>
      <x:c r="AD57" s="14" t="str">
        <x:v>https://arxiv.org/pdf/2501.05935</x:v>
      </x:c>
      <x:c r="AE57" s="14"/>
      <x:c r="AF57" s="14"/>
      <x:c r="AG57" s="14" t="str">
        <x:v>B/C</x:v>
      </x:c>
      <x:c r="AH57" s="14" t="str">
        <x:v>Add to staging, not necessarily Database core; Rydberg-mediated entanglement is contextual in intro.</x:v>
      </x:c>
    </x:row>
    <x:row r="58" ht="54" customHeight="1">
      <x:c r="A58" s="14" t="str">
        <x:v>ARXIV-PI-0057</x:v>
      </x:c>
      <x:c r="B58" s="14" t="str">
        <x:v>Q-018</x:v>
      </x:c>
      <x:c r="C58" s="14" t="str">
        <x:v>arxiv v1.1 large-scale cryogenic arrays</x:v>
      </x:c>
      <x:c r="D58" s="14" t="str">
        <x:v>2604.07205</x:v>
      </x:c>
      <x:c r="E58" s="53" t="b">
        <x:v>0</x:v>
      </x:c>
      <x:c r="F58" s="14" t="str">
        <x:v>Defect-free arrays at the thousand-atom scale in a 4-K cryogenic environment</x:v>
      </x:c>
      <x:c r="G58" s="14" t="n">
        <x:v>2026</x:v>
      </x:c>
      <x:c r="H58" s="14" t="str">
        <x:v>2026-04-08</x:v>
      </x:c>
      <x:c r="I58" s="14"/>
      <x:c r="J58" s="14" t="str">
        <x:v>physics.atom-ph</x:v>
      </x:c>
      <x:c r="K58" s="14" t="str">
        <x:v>physics.atom-ph; quant-ph</x:v>
      </x:c>
      <x:c r="L58" s="14" t="str">
        <x:v>cryogenic neutral atom arrays; optical tweezers; Rydberg lifetime; PASQAL</x:v>
      </x:c>
      <x:c r="M58" s="14" t="str">
        <x:v>include</x:v>
      </x:c>
      <x:c r="N58" s="14" t="str">
        <x:v>Large-scale experimental infrastructure paper from PASQAL/Institut d'Optique ecosystem.</x:v>
      </x:c>
      <x:c r="O58" s="14" t="str">
        <x:v>Bruno Ximenez</x:v>
      </x:c>
      <x:c r="P58" s="14" t="str">
        <x:v>Bruno Ximenez</x:v>
      </x:c>
      <x:c r="Q58" s="14" t="str">
        <x:v>yes</x:v>
      </x:c>
      <x:c r="R58" s="14" t="str">
        <x:v>PASQAL SAS / Institut d'Optique Graduate School / Laboratoire Charles Fabry</x:v>
      </x:c>
      <x:c r="S58" s="14" t="str">
        <x:v>arxiv_html</x:v>
      </x:c>
      <x:c r="T58" s="14" t="str">
        <x:v>PASQAL SAS</x:v>
      </x:c>
      <x:c r="U58" s="14"/>
      <x:c r="V58" s="14"/>
      <x:c r="W58" s="14" t="str">
        <x:v>Palaiseau</x:v>
      </x:c>
      <x:c r="X58" s="14" t="str">
        <x:v>France</x:v>
      </x:c>
      <x:c r="Y58" s="14" t="n">
        <x:v>48.713</x:v>
      </x:c>
      <x:c r="Z58" s="14" t="n">
        <x:v>2.207</x:v>
      </x:c>
      <x:c r="AA58" s="14" t="str">
        <x:v>E-006</x:v>
      </x:c>
      <x:c r="AB58" s="14" t="str">
        <x:v>matched</x:v>
      </x:c>
      <x:c r="AC58" s="14" t="str">
        <x:v>https://arxiv.org/abs/2604.07205</x:v>
      </x:c>
      <x:c r="AD58" s="14" t="str">
        <x:v>https://arxiv.org/pdf/2604.07205</x:v>
      </x:c>
      <x:c r="AE58" s="14"/>
      <x:c r="AF58" s="14"/>
      <x:c r="AG58" s="14" t="str">
        <x:v>A</x:v>
      </x:c>
      <x:c r="AH58" s="14" t="str">
        <x:v>Map to PASQAL/IOGS ecosystem; useful infrastructure signal rather than separate group.</x:v>
      </x:c>
    </x:row>
    <x:row r="59" ht="54" customHeight="1">
      <x:c r="A59" s="14" t="str">
        <x:v>ARXIV-PI-0058</x:v>
      </x:c>
      <x:c r="B59" s="14" t="str">
        <x:v>Q-018</x:v>
      </x:c>
      <x:c r="C59" s="14" t="str">
        <x:v>arxiv v1.1 Sr tweezer platform</x:v>
      </x:c>
      <x:c r="D59" s="14" t="str">
        <x:v>2510.19816</x:v>
      </x:c>
      <x:c r="E59" s="53" t="b">
        <x:v>1</x:v>
      </x:c>
      <x:c r="F59" s="14" t="str">
        <x:v>Single Sr Atoms in Optical Tweezer Arrays for Quantum Simulation</x:v>
      </x:c>
      <x:c r="G59" s="14" t="n">
        <x:v>2025</x:v>
      </x:c>
      <x:c r="H59" s="14" t="str">
        <x:v>2025-10-22</x:v>
      </x:c>
      <x:c r="I59" s="14"/>
      <x:c r="J59" s="14" t="str">
        <x:v>physics.atom-ph</x:v>
      </x:c>
      <x:c r="K59" s="14" t="str">
        <x:v>physics.atom-ph</x:v>
      </x:c>
      <x:c r="L59" s="14" t="str">
        <x:v>Sr atoms; optical tweezers; quantum simulation; Rydberg interactions context</x:v>
      </x:c>
      <x:c r="M59" s="14" t="str">
        <x:v>include</x:v>
      </x:c>
      <x:c r="N59" s="14" t="str">
        <x:v>Relevant alkaline-earth tweezer platform; Rydberg link is contextual, not yet core Rydberg-array result.</x:v>
      </x:c>
      <x:c r="O59" s="14" t="str">
        <x:v>Leonardo Fallani</x:v>
      </x:c>
      <x:c r="P59" s="14" t="str">
        <x:v>Leonardo Fallani</x:v>
      </x:c>
      <x:c r="Q59" s="14" t="str">
        <x:v>yes</x:v>
      </x:c>
      <x:c r="R59" s="14" t="str">
        <x:v>CNR / University of Florence ecosystem (needs manual check)</x:v>
      </x:c>
      <x:c r="S59" s="14" t="str">
        <x:v>article_html_author_contributions</x:v>
      </x:c>
      <x:c r="T59" s="14" t="str">
        <x:v>CNR / University of Florence</x:v>
      </x:c>
      <x:c r="U59" s="14"/>
      <x:c r="V59" s="14"/>
      <x:c r="W59" s="14" t="str">
        <x:v>Florence</x:v>
      </x:c>
      <x:c r="X59" s="14" t="str">
        <x:v>Italy</x:v>
      </x:c>
      <x:c r="Y59" s="14" t="n">
        <x:v>43.7696</x:v>
      </x:c>
      <x:c r="Z59" s="14" t="n">
        <x:v>11.2558</x:v>
      </x:c>
      <x:c r="AA59" s="14" t="str">
        <x:v>E-016</x:v>
      </x:c>
      <x:c r="AB59" s="14" t="str">
        <x:v>matched_or_adjacent</x:v>
      </x:c>
      <x:c r="AC59" s="14" t="str">
        <x:v>https://arxiv.org/abs/2510.19816</x:v>
      </x:c>
      <x:c r="AD59" s="14" t="str">
        <x:v>https://arxiv.org/pdf/2510.19816</x:v>
      </x:c>
      <x:c r="AE59" s="14"/>
      <x:c r="AF59" s="14"/>
      <x:c r="AG59" s="14" t="str">
        <x:v>B/C</x:v>
      </x:c>
      <x:c r="AH59" s="14" t="str">
        <x:v>Use to strengthen Florence/Sr node after checking whether the paper belongs to the same LENS/CNR group.</x:v>
      </x:c>
    </x:row>
    <x:row r="60" ht="54" customHeight="1">
      <x:c r="A60" s="14" t="str">
        <x:v>ARXIV-PI-0059</x:v>
      </x:c>
      <x:c r="B60" s="14" t="str">
        <x:v>Q-026</x:v>
      </x:c>
      <x:c r="C60" s="14" t="str">
        <x:v>arxiv v1.1 Rydberg excitation hardware</x:v>
      </x:c>
      <x:c r="D60" s="14" t="str">
        <x:v>2604.13436</x:v>
      </x:c>
      <x:c r="E60" s="14" t="str">
        <x:v>v1</x:v>
      </x:c>
      <x:c r="F60" s="14" t="str">
        <x:v>Coherent Rydberg excitation of single atoms using a pulsed fiber amplifier</x:v>
      </x:c>
      <x:c r="G60" s="14" t="n">
        <x:v>2026</x:v>
      </x:c>
      <x:c r="H60" s="14" t="str">
        <x:v>2026-04-15</x:v>
      </x:c>
      <x:c r="I60" s="14"/>
      <x:c r="J60" s="14" t="str">
        <x:v>physics.atom-ph</x:v>
      </x:c>
      <x:c r="K60" s="14" t="str">
        <x:v>physics.atom-ph; quant-ph</x:v>
      </x:c>
      <x:c r="L60" s="14" t="str">
        <x:v>Rydberg excitation; rubidium atom array; pulsed amplifier; scaling hardware</x:v>
      </x:c>
      <x:c r="M60" s="14" t="str">
        <x:v>include</x:v>
      </x:c>
      <x:c r="N60" s="14" t="str">
        <x:v>Technical hardware paper directly about coherent Rydberg excitation of single atoms in atom arrays.</x:v>
      </x:c>
      <x:c r="O60" s="14" t="str">
        <x:v>Peng Xu</x:v>
      </x:c>
      <x:c r="P60" s="14" t="str">
        <x:v>Peng Xu</x:v>
      </x:c>
      <x:c r="Q60" s="14" t="str">
        <x:v>yes</x:v>
      </x:c>
      <x:c r="R60" s="14" t="str">
        <x:v>Institution pending</x:v>
      </x:c>
      <x:c r="S60" s="14" t="str">
        <x:v>arxiv_abs_only</x:v>
      </x:c>
      <x:c r="T60" s="14" t="str">
        <x:v>Institution pending</x:v>
      </x:c>
      <x:c r="U60" s="14"/>
      <x:c r="V60" s="14"/>
      <x:c r="W60" s="14"/>
      <x:c r="X60" s="14"/>
      <x:c r="Y60" s="14"/>
      <x:c r="Z60" s="14"/>
      <x:c r="AA60" s="14" t="str">
        <x:v>new_candidate</x:v>
      </x:c>
      <x:c r="AB60" s="14"/>
      <x:c r="AC60" s="14" t="str">
        <x:v>https://arxiv.org/abs/2604.13436</x:v>
      </x:c>
      <x:c r="AD60" s="14" t="str">
        <x:v>https://arxiv.org/pdf/2604.13436</x:v>
      </x:c>
      <x:c r="AE60" s="14"/>
      <x:c r="AF60" s="14" t="str">
        <x:v>B</x:v>
      </x:c>
      <x:c r="AG60" s="14" t="str">
        <x:v>High technical relevance; affiliation must be resolved before DB promotion.</x:v>
      </x:c>
      <x:c r="AH60" s="53" t="b">
        <x:v>1</x:v>
      </x:c>
    </x:row>
    <x:row r="61" ht="54" customHeight="1">
      <x:c r="A61" s="14" t="str">
        <x:v>ARXIV-PI-0060</x:v>
      </x:c>
      <x:c r="B61" s="14" t="str">
        <x:v>Q-019</x:v>
      </x:c>
      <x:c r="C61" s="14" t="str">
        <x:v>arxiv v1.1 theory field-theory simulation</x:v>
      </x:c>
      <x:c r="D61" s="14" t="str">
        <x:v>2409.14544</x:v>
      </x:c>
      <x:c r="E61" s="14" t="str">
        <x:v>v1</x:v>
      </x:c>
      <x:c r="F61" s="14" t="str">
        <x:v>Simulating Schwinger model dynamics with quasi-one-dimensional qubit arrays</x:v>
      </x:c>
      <x:c r="G61" s="14" t="n">
        <x:v>2024</x:v>
      </x:c>
      <x:c r="H61" s="14" t="str">
        <x:v>2024-09-22</x:v>
      </x:c>
      <x:c r="I61" s="14"/>
      <x:c r="J61" s="14" t="str">
        <x:v>quant-ph</x:v>
      </x:c>
      <x:c r="K61" s="14" t="str">
        <x:v>quant-ph; cond-mat.quant-gas; cond-mat.str-el; hep-lat; hep-ph</x:v>
      </x:c>
      <x:c r="L61" s="14" t="str">
        <x:v>Rydberg atom array; dual-species; Schwinger model; quantum simulation theory</x:v>
      </x:c>
      <x:c r="M61" s="14" t="str">
        <x:v>include</x:v>
      </x:c>
      <x:c r="N61" s="14" t="str">
        <x:v>Theory proposal with explicit advantageous implementation using dual-species Rydberg atom array.</x:v>
      </x:c>
      <x:c r="O61" s="14" t="str">
        <x:v>Alessio Lerose</x:v>
      </x:c>
      <x:c r="P61" s="14" t="str">
        <x:v>Alessio Lerose</x:v>
      </x:c>
      <x:c r="Q61" s="14" t="str">
        <x:v>yes</x:v>
      </x:c>
      <x:c r="R61" s="14" t="str">
        <x:v>Institution pending</x:v>
      </x:c>
      <x:c r="S61" s="14" t="str">
        <x:v>arxiv_abs_only</x:v>
      </x:c>
      <x:c r="T61" s="14" t="str">
        <x:v>Institution pending</x:v>
      </x:c>
      <x:c r="U61" s="14"/>
      <x:c r="V61" s="14"/>
      <x:c r="W61" s="14"/>
      <x:c r="X61" s="14"/>
      <x:c r="Y61" s="14"/>
      <x:c r="Z61" s="14"/>
      <x:c r="AA61" s="14" t="str">
        <x:v>new_candidate</x:v>
      </x:c>
      <x:c r="AB61" s="14"/>
      <x:c r="AC61" s="14" t="str">
        <x:v>https://arxiv.org/abs/2409.14544</x:v>
      </x:c>
      <x:c r="AD61" s="14" t="str">
        <x:v>https://arxiv.org/pdf/2409.14544</x:v>
      </x:c>
      <x:c r="AE61" s="14"/>
      <x:c r="AF61" s="14" t="str">
        <x:v>B/C</x:v>
      </x:c>
      <x:c r="AG61" s="14" t="str">
        <x:v>Keep as theory/application bridge; affiliation and PI status need checking.</x:v>
      </x:c>
      <x:c r="AH61" s="53" t="b">
        <x:v>1</x:v>
      </x:c>
    </x:row>
    <x:row r="62" ht="54" customHeight="1">
      <x:c r="A62" s="14" t="str">
        <x:v>ARXIV-PI-0061</x:v>
      </x:c>
      <x:c r="B62" s="14" t="str">
        <x:v>Q-006</x:v>
      </x:c>
      <x:c r="C62" s="14" t="str">
        <x:v>arxiv v1.1 parity/QEC theory</x:v>
      </x:c>
      <x:c r="D62" s="14" t="str">
        <x:v>2405.19564</x:v>
      </x:c>
      <x:c r="E62" s="14" t="str">
        <x:v>v1</x:v>
      </x:c>
      <x:c r="F62" s="14" t="str">
        <x:v>Parity-controlled gate in a two-dimensional neutral-atom array</x:v>
      </x:c>
      <x:c r="G62" s="14" t="n">
        <x:v>2024</x:v>
      </x:c>
      <x:c r="H62" s="14" t="str">
        <x:v>2024-05-29</x:v>
      </x:c>
      <x:c r="I62" s="14"/>
      <x:c r="J62" s="14" t="str">
        <x:v>quant-ph</x:v>
      </x:c>
      <x:c r="K62" s="14" t="str">
        <x:v>quant-ph</x:v>
      </x:c>
      <x:c r="L62" s="14" t="str">
        <x:v>Rydberg atom array; parity gate; XZZX stabilizers; QEC; theory</x:v>
      </x:c>
      <x:c r="M62" s="14" t="str">
        <x:v>include</x:v>
      </x:c>
      <x:c r="N62" s="14" t="str">
        <x:v>Theory/control paper for stabilizer readout and QEC; not a hardware group by itself.</x:v>
      </x:c>
      <x:c r="O62" s="14" t="str">
        <x:v>X. Q. Shao</x:v>
      </x:c>
      <x:c r="P62" s="14" t="str">
        <x:v>X. Q. Shao</x:v>
      </x:c>
      <x:c r="Q62" s="14" t="str">
        <x:v>yes</x:v>
      </x:c>
      <x:c r="R62" s="14" t="str">
        <x:v>Institution pending</x:v>
      </x:c>
      <x:c r="S62" s="14" t="str">
        <x:v>arxiv_abs_only</x:v>
      </x:c>
      <x:c r="T62" s="14" t="str">
        <x:v>Institution pending</x:v>
      </x:c>
      <x:c r="U62" s="14"/>
      <x:c r="V62" s="14"/>
      <x:c r="W62" s="14"/>
      <x:c r="X62" s="14"/>
      <x:c r="Y62" s="14"/>
      <x:c r="Z62" s="14"/>
      <x:c r="AA62" s="14" t="str">
        <x:v>new_candidate</x:v>
      </x:c>
      <x:c r="AB62" s="14"/>
      <x:c r="AC62" s="14" t="str">
        <x:v>https://arxiv.org/abs/2405.19564</x:v>
      </x:c>
      <x:c r="AD62" s="14" t="str">
        <x:v>https://arxiv.org/pdf/2405.19564</x:v>
      </x:c>
      <x:c r="AE62" s="14"/>
      <x:c r="AF62" s="14" t="str">
        <x:v>C/B</x:v>
      </x:c>
      <x:c r="AG62" s="14" t="str">
        <x:v>Useful citation-path paper; affiliation needs PDF/OpenAlex cleanup.</x:v>
      </x:c>
      <x:c r="AH62" s="53" t="b">
        <x:v>1</x:v>
      </x:c>
    </x:row>
    <x:row r="63" ht="54" customHeight="1">
      <x:c r="A63" s="14" t="str">
        <x:v>ARXIV-PI-0062</x:v>
      </x:c>
      <x:c r="B63" s="14" t="str">
        <x:v>Q-020</x:v>
      </x:c>
      <x:c r="C63" s="14" t="str">
        <x:v>arxiv v1.1 application/software</x:v>
      </x:c>
      <x:c r="D63" s="14" t="str">
        <x:v>2606.11000</x:v>
      </x:c>
      <x:c r="E63" s="14" t="str">
        <x:v>v1</x:v>
      </x:c>
      <x:c r="F63" s="14" t="str">
        <x:v>Analog Quantum Asynchronous Event-Based Graph Neural Networks with Neutral Atom Processors</x:v>
      </x:c>
      <x:c r="G63" s="14" t="n">
        <x:v>2026</x:v>
      </x:c>
      <x:c r="H63" s="14" t="str">
        <x:v>2026-06-10</x:v>
      </x:c>
      <x:c r="I63" s="14"/>
      <x:c r="J63" s="14" t="str">
        <x:v>quant-ph</x:v>
      </x:c>
      <x:c r="K63" s="14" t="str">
        <x:v>quant-ph; cs.LG</x:v>
      </x:c>
      <x:c r="L63" s="14" t="str">
        <x:v>neutral atom processors; Rydberg interactions; graph neural networks; application</x:v>
      </x:c>
      <x:c r="M63" s="14" t="str">
        <x:v>include</x:v>
      </x:c>
      <x:c r="N63" s="14" t="str">
        <x:v>Application/software layer exploiting analog neutral-atom/Rydberg dynamics.</x:v>
      </x:c>
      <x:c r="O63" s="14" t="str">
        <x:v>K. Sotirov</x:v>
      </x:c>
      <x:c r="P63" s="14" t="str">
        <x:v>K. Sotirov</x:v>
      </x:c>
      <x:c r="Q63" s="14" t="str">
        <x:v>yes</x:v>
      </x:c>
      <x:c r="R63" s="14" t="str">
        <x:v>Institution pending</x:v>
      </x:c>
      <x:c r="S63" s="14" t="str">
        <x:v>arxiv_abs_only</x:v>
      </x:c>
      <x:c r="T63" s="14" t="str">
        <x:v>Institution pending</x:v>
      </x:c>
      <x:c r="U63" s="14"/>
      <x:c r="V63" s="14"/>
      <x:c r="W63" s="14"/>
      <x:c r="X63" s="14"/>
      <x:c r="Y63" s="14"/>
      <x:c r="Z63" s="14"/>
      <x:c r="AA63" s="14" t="str">
        <x:v>new_candidate</x:v>
      </x:c>
      <x:c r="AB63" s="14"/>
      <x:c r="AC63" s="14" t="str">
        <x:v>https://arxiv.org/abs/2606.11000</x:v>
      </x:c>
      <x:c r="AD63" s="14" t="str">
        <x:v>https://arxiv.org/pdf/2606.11000</x:v>
      </x:c>
      <x:c r="AE63" s="14"/>
      <x:c r="AF63" s="14" t="str">
        <x:v>C</x:v>
      </x:c>
      <x:c r="AG63" s="14" t="str">
        <x:v>Application paper; useful for industry/app layer, not hardware ecosystem core.</x:v>
      </x:c>
      <x:c r="AH63" s="53" t="b">
        <x:v>1</x:v>
      </x:c>
    </x:row>
    <x:row r="64" ht="54" customHeight="1">
      <x:c r="A64" s="14" t="str">
        <x:v>ARXIV-PI-0063</x:v>
      </x:c>
      <x:c r="B64" s="14" t="str">
        <x:v>Q-018</x:v>
      </x:c>
      <x:c r="C64" s="14" t="str">
        <x:v>arxiv v1.1 compact tweezer setup</x:v>
      </x:c>
      <x:c r="D64" s="14" t="str">
        <x:v>2604.12204</x:v>
      </x:c>
      <x:c r="E64" s="53" t="b">
        <x:v>1</x:v>
      </x:c>
      <x:c r="F64" s="14" t="str">
        <x:v>A compact setup for 87Rb optical tweezer arrays</x:v>
      </x:c>
      <x:c r="G64" s="14" t="n">
        <x:v>2026</x:v>
      </x:c>
      <x:c r="H64" s="14" t="str">
        <x:v>2026-04-14</x:v>
      </x:c>
      <x:c r="I64" s="14"/>
      <x:c r="J64" s="14" t="str">
        <x:v>physics.atom-ph</x:v>
      </x:c>
      <x:c r="K64" s="14" t="str">
        <x:v>physics.atom-ph</x:v>
      </x:c>
      <x:c r="L64" s="14" t="str">
        <x:v>Rb optical tweezer arrays; compact setup; control system</x:v>
      </x:c>
      <x:c r="M64" s="14" t="str">
        <x:v>include</x:v>
      </x:c>
      <x:c r="N64" s="14" t="str">
        <x:v>Experimental platform paper; Rydberg not central, but relevant for discovering emerging tweezer labs.</x:v>
      </x:c>
      <x:c r="O64" s="14" t="str">
        <x:v>Wei Zhang</x:v>
      </x:c>
      <x:c r="P64" s="14" t="str">
        <x:v>Wei Zhang</x:v>
      </x:c>
      <x:c r="Q64" s="14" t="str">
        <x:v>yes</x:v>
      </x:c>
      <x:c r="R64" s="14" t="str">
        <x:v>Renmin University of China / BAQIS (needs manual check)</x:v>
      </x:c>
      <x:c r="S64" s="14" t="str">
        <x:v>arxiv_abs + secondary source</x:v>
      </x:c>
      <x:c r="T64" s="14" t="str">
        <x:v>Renmin University of China / BAQIS</x:v>
      </x:c>
      <x:c r="U64" s="14"/>
      <x:c r="V64" s="14"/>
      <x:c r="W64" s="14" t="str">
        <x:v>Beijing</x:v>
      </x:c>
      <x:c r="X64" s="14" t="str">
        <x:v>China</x:v>
      </x:c>
      <x:c r="Y64" s="14" t="n">
        <x:v>39.9042</x:v>
      </x:c>
      <x:c r="Z64" s="14" t="n">
        <x:v>116.4074</x:v>
      </x:c>
      <x:c r="AA64" s="14" t="str">
        <x:v>E-058</x:v>
      </x:c>
      <x:c r="AB64" s="14" t="str">
        <x:v>possible_match</x:v>
      </x:c>
      <x:c r="AC64" s="14" t="str">
        <x:v>https://arxiv.org/abs/2604.12204</x:v>
      </x:c>
      <x:c r="AD64" s="14" t="str">
        <x:v>https://arxiv.org/pdf/2604.12204</x:v>
      </x:c>
      <x:c r="AE64" s="14"/>
      <x:c r="AF64" s="14"/>
      <x:c r="AG64" s="14" t="str">
        <x:v>C/B</x:v>
      </x:c>
      <x:c r="AH64" s="14" t="str">
        <x:v>Potentially connected to existing BAQIS/Renmin rows; do not promote until group identity is cleaned.</x:v>
      </x:c>
    </x:row>
    <x:row r="65" ht="54" customHeight="1">
      <x:c r="A65" s="14" t="str">
        <x:v>ARXIV-PI-0064</x:v>
      </x:c>
      <x:c r="B65" s="14" t="str">
        <x:v>Q-018</x:v>
      </x:c>
      <x:c r="C65" s="14" t="str">
        <x:v>arxiv v1.1 large-scale assembly</x:v>
      </x:c>
      <x:c r="D65" s="14" t="str">
        <x:v>2412.14647</x:v>
      </x:c>
      <x:c r="E65" s="53" t="b">
        <x:v>0</x:v>
      </x:c>
      <x:c r="F65" s="14" t="str">
        <x:v>AI-Enabled Rapid Assembly of Thousands of Defect-Free Neutral Atom Arrays with Constant-time-overhead</x:v>
      </x:c>
      <x:c r="G65" s="14" t="n">
        <x:v>2024</x:v>
      </x:c>
      <x:c r="H65" s="14" t="str">
        <x:v>2024-12-19</x:v>
      </x:c>
      <x:c r="I65" s="14"/>
      <x:c r="J65" s="14" t="str">
        <x:v>quant-ph</x:v>
      </x:c>
      <x:c r="K65" s="14" t="str">
        <x:v>quant-ph</x:v>
      </x:c>
      <x:c r="L65" s="14" t="str">
        <x:v>neutral atom arrays; optical tweezers; AI assembly; large scale</x:v>
      </x:c>
      <x:c r="M65" s="14" t="str">
        <x:v>include</x:v>
      </x:c>
      <x:c r="N65" s="14" t="str">
        <x:v>Large-scale tweezer-array assembly paper; important platform signal even if Rydberg is not the paper focus.</x:v>
      </x:c>
      <x:c r="O65" s="14" t="str">
        <x:v>Jian-Wei Pan</x:v>
      </x:c>
      <x:c r="P65" s="14" t="str">
        <x:v>Jian-Wei Pan</x:v>
      </x:c>
      <x:c r="Q65" s="14" t="str">
        <x:v>yes</x:v>
      </x:c>
      <x:c r="R65" s="14" t="str">
        <x:v>University of Science and Technology of China</x:v>
      </x:c>
      <x:c r="S65" s="14" t="str">
        <x:v>arxiv_abs</x:v>
      </x:c>
      <x:c r="T65" s="14" t="str">
        <x:v>University of Science and Technology of China</x:v>
      </x:c>
      <x:c r="U65" s="14"/>
      <x:c r="V65" s="14"/>
      <x:c r="W65" s="14" t="str">
        <x:v>Hefei</x:v>
      </x:c>
      <x:c r="X65" s="14" t="str">
        <x:v>China</x:v>
      </x:c>
      <x:c r="Y65" s="14" t="n">
        <x:v>31.8206</x:v>
      </x:c>
      <x:c r="Z65" s="14" t="n">
        <x:v>117.2272</x:v>
      </x:c>
      <x:c r="AA65" s="14" t="str">
        <x:v>E-036</x:v>
      </x:c>
      <x:c r="AB65" s="14" t="str">
        <x:v>matched</x:v>
      </x:c>
      <x:c r="AC65" s="14" t="str">
        <x:v>https://arxiv.org/abs/2412.14647</x:v>
      </x:c>
      <x:c r="AD65" s="14" t="str">
        <x:v>https://arxiv.org/pdf/2412.14647</x:v>
      </x:c>
      <x:c r="AE65" s="14"/>
      <x:c r="AF65" s="14"/>
      <x:c r="AG65" s="14" t="str">
        <x:v>B</x:v>
      </x:c>
      <x:c r="AH65" s="14" t="str">
        <x:v>Keep in platform-scaling layer; cross-check with USTC/Pan-Lu-Rui row.</x:v>
      </x:c>
    </x:row>
    <x:row r="66" ht="54" customHeight="1">
      <x:c r="A66" s="14" t="str">
        <x:v>ARXIV-PI-0065</x:v>
      </x:c>
      <x:c r="B66" s="14" t="str">
        <x:v>Q-022</x:v>
      </x:c>
      <x:c r="C66" s="14" t="str">
        <x:v>arxiv v1.1 mixed-species arrays</x:v>
      </x:c>
      <x:c r="D66" s="14" t="str">
        <x:v>2501.02248</x:v>
      </x:c>
      <x:c r="E66" s="14" t="str">
        <x:v>v1</x:v>
      </x:c>
      <x:c r="F66" s="14" t="str">
        <x:v>Enhanced Atom-by-Atom Assembly of Defect-Free Two-Dimensional Mixed-Species Atomic Arrays</x:v>
      </x:c>
      <x:c r="G66" s="14" t="n">
        <x:v>2025</x:v>
      </x:c>
      <x:c r="H66" s="14" t="str">
        <x:v>2025-01-04</x:v>
      </x:c>
      <x:c r="I66" s="14"/>
      <x:c r="J66" s="14" t="str">
        <x:v>quant-ph</x:v>
      </x:c>
      <x:c r="K66" s="14" t="str">
        <x:v>quant-ph</x:v>
      </x:c>
      <x:c r="L66" s="14" t="str">
        <x:v>mixed-species atomic arrays; optical tweezers; assembly; neutral atom scalability</x:v>
      </x:c>
      <x:c r="M66" s="14" t="str">
        <x:v>include</x:v>
      </x:c>
      <x:c r="N66" s="14" t="str">
        <x:v>Useful mixed-species tweezer-array infrastructure; Rydberg is contextual via dual-species architecture.</x:v>
      </x:c>
      <x:c r="O66" s="14" t="str">
        <x:v>Ming-Sheng Zhan</x:v>
      </x:c>
      <x:c r="P66" s="14" t="str">
        <x:v>Ming-Sheng Zhan</x:v>
      </x:c>
      <x:c r="Q66" s="14" t="str">
        <x:v>yes</x:v>
      </x:c>
      <x:c r="R66" s="14" t="str">
        <x:v>Institution pending</x:v>
      </x:c>
      <x:c r="S66" s="14" t="str">
        <x:v>arxiv_abs_only</x:v>
      </x:c>
      <x:c r="T66" s="14" t="str">
        <x:v>Institution pending</x:v>
      </x:c>
      <x:c r="U66" s="14"/>
      <x:c r="V66" s="14"/>
      <x:c r="W66" s="14"/>
      <x:c r="X66" s="14"/>
      <x:c r="Y66" s="14"/>
      <x:c r="Z66" s="14"/>
      <x:c r="AA66" s="14" t="str">
        <x:v>new_candidate</x:v>
      </x:c>
      <x:c r="AB66" s="14"/>
      <x:c r="AC66" s="14" t="str">
        <x:v>https://arxiv.org/abs/2501.02248</x:v>
      </x:c>
      <x:c r="AD66" s="14" t="str">
        <x:v>https://arxiv.org/pdf/2501.02248</x:v>
      </x:c>
      <x:c r="AE66" s="14"/>
      <x:c r="AF66" s="14" t="str">
        <x:v>B/C</x:v>
      </x:c>
      <x:c r="AG66" s="14" t="str">
        <x:v>Needs affiliation normalization; likely relevant to Chinese neutral-atom ecosystem.</x:v>
      </x:c>
      <x:c r="AH66" s="53" t="b">
        <x:v>1</x:v>
      </x:c>
    </x:row>
    <x:row r="67" ht="54" customHeight="1">
      <x:c r="A67" s="14" t="str">
        <x:v>ARXIV-PI-0066</x:v>
      </x:c>
      <x:c r="B67" s="14" t="str">
        <x:v>Q-022</x:v>
      </x:c>
      <x:c r="C67" s="14" t="str">
        <x:v>arxiv v1.1 dual-species hardware</x:v>
      </x:c>
      <x:c r="D67" s="14" t="str">
        <x:v>2412.20261</x:v>
      </x:c>
      <x:c r="E67" s="53" t="b">
        <x:v>0</x:v>
      </x:c>
      <x:c r="F67" s="14" t="str">
        <x:v>Interleaved dual-species arrays of single atoms using a passive optical element and one trapping laser</x:v>
      </x:c>
      <x:c r="G67" s="14" t="n">
        <x:v>2024</x:v>
      </x:c>
      <x:c r="H67" s="14" t="str">
        <x:v>2024-12-28</x:v>
      </x:c>
      <x:c r="I67" s="14"/>
      <x:c r="J67" s="14" t="str">
        <x:v>quant-ph</x:v>
      </x:c>
      <x:c r="K67" s="14" t="str">
        <x:v>quant-ph</x:v>
      </x:c>
      <x:c r="L67" s="14" t="str">
        <x:v>dual-species arrays; Rb-Cs; optical tweezers; passive optical element</x:v>
      </x:c>
      <x:c r="M67" s="14" t="str">
        <x:v>include</x:v>
      </x:c>
      <x:c r="N67" s="14" t="str">
        <x:v>Dual-species array hardware from Saffman ecosystem; not necessarily Rydberg result but relevant to Rydberg array engineering.</x:v>
      </x:c>
      <x:c r="O67" s="14" t="str">
        <x:v>Mark Saffman</x:v>
      </x:c>
      <x:c r="P67" s="14" t="str">
        <x:v>Mark Saffman</x:v>
      </x:c>
      <x:c r="Q67" s="14" t="str">
        <x:v>yes</x:v>
      </x:c>
      <x:c r="R67" s="14" t="str">
        <x:v>University of Wisconsin-Madison</x:v>
      </x:c>
      <x:c r="S67" s="14" t="str">
        <x:v>arxiv_abs</x:v>
      </x:c>
      <x:c r="T67" s="14" t="str">
        <x:v>University of Wisconsin-Madison</x:v>
      </x:c>
      <x:c r="U67" s="14"/>
      <x:c r="V67" s="14"/>
      <x:c r="W67" s="14" t="str">
        <x:v>Madison</x:v>
      </x:c>
      <x:c r="X67" s="14" t="str">
        <x:v>United States</x:v>
      </x:c>
      <x:c r="Y67" s="14" t="n">
        <x:v>43.0731</x:v>
      </x:c>
      <x:c r="Z67" s="14" t="n">
        <x:v>-89.4012</x:v>
      </x:c>
      <x:c r="AA67" s="14" t="str">
        <x:v>E-005</x:v>
      </x:c>
      <x:c r="AB67" s="14" t="str">
        <x:v>matched</x:v>
      </x:c>
      <x:c r="AC67" s="14" t="str">
        <x:v>https://arxiv.org/abs/2412.20261</x:v>
      </x:c>
      <x:c r="AD67" s="14" t="str">
        <x:v>https://arxiv.org/pdf/2412.20261</x:v>
      </x:c>
      <x:c r="AE67" s="14"/>
      <x:c r="AF67" s="14"/>
      <x:c r="AG67" s="14" t="str">
        <x:v>B</x:v>
      </x:c>
      <x:c r="AH67" s="14" t="str">
        <x:v>Append to Saffman dual-species infrastructure signal.</x:v>
      </x:c>
    </x:row>
    <x:row r="68" ht="54" customHeight="1">
      <x:c r="A68" s="14" t="str">
        <x:v>ARXIV-PI-0067</x:v>
      </x:c>
      <x:c r="B68" s="14" t="str">
        <x:v>Q-018</x:v>
      </x:c>
      <x:c r="C68" s="14" t="str">
        <x:v>arxiv v1.1 adjacent lanthanide tweezers</x:v>
      </x:c>
      <x:c r="D68" s="14" t="str">
        <x:v>2406.16146</x:v>
      </x:c>
      <x:c r="E68" s="53" t="b">
        <x:v>1</x:v>
      </x:c>
      <x:c r="F68" s="14" t="str">
        <x:v>Optical Tweezer Arrays of Erbium Atoms</x:v>
      </x:c>
      <x:c r="G68" s="14" t="n">
        <x:v>2024</x:v>
      </x:c>
      <x:c r="H68" s="14" t="str">
        <x:v>2024-06-23</x:v>
      </x:c>
      <x:c r="I68" s="14"/>
      <x:c r="J68" s="14" t="str">
        <x:v>physics.atom-ph</x:v>
      </x:c>
      <x:c r="K68" s="14" t="str">
        <x:v>physics.atom-ph</x:v>
      </x:c>
      <x:c r="L68" s="14" t="str">
        <x:v>erbium; optical tweezer arrays; quantum simulation; adjacent species</x:v>
      </x:c>
      <x:c r="M68" s="14" t="str">
        <x:v>include_as_adjacent</x:v>
      </x:c>
      <x:c r="N68" s="14" t="str">
        <x:v>Adjacent tweezer platform; not neutral-atom Rydberg gate/array core.</x:v>
      </x:c>
      <x:c r="O68" s="14" t="str">
        <x:v>Francesca Ferlaino</x:v>
      </x:c>
      <x:c r="P68" s="14" t="str">
        <x:v>Francesca Ferlaino</x:v>
      </x:c>
      <x:c r="Q68" s="14" t="str">
        <x:v>yes</x:v>
      </x:c>
      <x:c r="R68" s="14" t="str">
        <x:v>University of Innsbruck / IQOQI Innsbruck</x:v>
      </x:c>
      <x:c r="S68" s="14" t="str">
        <x:v>arxiv_abs</x:v>
      </x:c>
      <x:c r="T68" s="14" t="str">
        <x:v>University of Innsbruck / IQOQI Innsbruck</x:v>
      </x:c>
      <x:c r="U68" s="14"/>
      <x:c r="V68" s="14"/>
      <x:c r="W68" s="14" t="str">
        <x:v>Innsbruck</x:v>
      </x:c>
      <x:c r="X68" s="14" t="str">
        <x:v>Austria</x:v>
      </x:c>
      <x:c r="Y68" s="14" t="n">
        <x:v>47.2692</x:v>
      </x:c>
      <x:c r="Z68" s="14" t="n">
        <x:v>11.4041</x:v>
      </x:c>
      <x:c r="AA68" s="14"/>
      <x:c r="AB68" s="14" t="str">
        <x:v>new_candidate</x:v>
      </x:c>
      <x:c r="AC68" s="14" t="str">
        <x:v>https://arxiv.org/abs/2406.16146</x:v>
      </x:c>
      <x:c r="AD68" s="14" t="str">
        <x:v>https://arxiv.org/pdf/2406.16146</x:v>
      </x:c>
      <x:c r="AE68" s="14"/>
      <x:c r="AF68" s="14"/>
      <x:c r="AG68" s="14" t="str">
        <x:v>C</x:v>
      </x:c>
      <x:c r="AH68" s="14" t="str">
        <x:v>Useful only if map includes adjacent tweezer platforms beyond Rb/Cs/Sr/Yb Rydberg arrays.</x:v>
      </x:c>
    </x:row>
    <x:row r="69">
      <x:c r="A69" s="14" t="str">
        <x:v>ARXIV-PI-0068</x:v>
      </x:c>
      <x:c r="B69" s="14" t="str">
        <x:v>Q-029</x:v>
      </x:c>
      <x:c r="C69" s="14" t="str">
        <x:v>arxiv v1.4 QEC/global-control theory</x:v>
      </x:c>
      <x:c r="D69" s="14" t="str">
        <x:v>2606.12030</x:v>
      </x:c>
      <x:c r="E69" s="14" t="str">
        <x:v>v1</x:v>
      </x:c>
      <x:c r="F69" s="14" t="str">
        <x:v>Measurement-Free Toric-Code Memory in Array Globally Controlled Rydberg Array</x:v>
      </x:c>
      <x:c r="G69" s="14" t="n">
        <x:v>2026</x:v>
      </x:c>
      <x:c r="H69" s="14" t="str">
        <x:v>2026-06-10</x:v>
      </x:c>
      <x:c r="I69" s="14"/>
      <x:c r="J69" s="14" t="str">
        <x:v>quant-ph</x:v>
      </x:c>
      <x:c r="K69" s="14" t="str">
        <x:v>quant-ph</x:v>
      </x:c>
      <x:c r="L69" s="14" t="str">
        <x:v>neutral-atom Rydberg arrays; toric code; global control; QEC</x:v>
      </x:c>
      <x:c r="M69" s="14" t="str">
        <x:v>include</x:v>
      </x:c>
      <x:c r="N69" s="14" t="str">
        <x:v>Theory/QEC paper explicitly targeting neutral-atom Rydberg arrays and avoiding measurement/movement/local addressing overhead.</x:v>
      </x:c>
      <x:c r="O69" s="14" t="str">
        <x:v>Jinguo Liu</x:v>
      </x:c>
      <x:c r="P69" s="14" t="str">
        <x:v>Jin-Guo Liu</x:v>
      </x:c>
      <x:c r="Q69" s="14" t="str">
        <x:v>yes</x:v>
      </x:c>
      <x:c r="R69" s="14" t="str">
        <x:v>HKUST(GZ) / Quantum Bay (matched existing DB row; canonicalization needed)</x:v>
      </x:c>
      <x:c r="S69" s="14" t="str">
        <x:v>arxiv_abs + existing DB QC</x:v>
      </x:c>
      <x:c r="T69" s="14" t="str">
        <x:v>Hong Kong University of Science and Technology (Guangzhou)</x:v>
      </x:c>
      <x:c r="U69" s="14"/>
      <x:c r="V69" s="14" t="str">
        <x:v>Guangzhou</x:v>
      </x:c>
      <x:c r="W69" s="14" t="str">
        <x:v>China</x:v>
      </x:c>
      <x:c r="X69" s="14" t="n">
        <x:v>23.1291</x:v>
      </x:c>
      <x:c r="Y69" s="14" t="n">
        <x:v>113.2644</x:v>
      </x:c>
      <x:c r="Z69" s="14" t="str">
        <x:v>E-048</x:v>
      </x:c>
      <x:c r="AA69" s="14" t="str">
        <x:v>matched</x:v>
      </x:c>
      <x:c r="AB69" s="14"/>
      <x:c r="AC69" s="14" t="str">
        <x:v>https://arxiv.org/abs/2606.12030</x:v>
      </x:c>
      <x:c r="AD69" s="14" t="str">
        <x:v>https://arxiv.org/pdf/2606.12030</x:v>
      </x:c>
      <x:c r="AE69" s="14"/>
      <x:c r="AF69" s="14" t="str">
        <x:v>B</x:v>
      </x:c>
      <x:c r="AG69" s="14" t="str">
        <x:v>Adds a second 2026 QEC/global-control signal for the existing Jin-Guo Liu theory node.</x:v>
      </x:c>
      <x:c r="AH69" s="53" t="b">
        <x:v>0</x:v>
      </x:c>
    </x:row>
    <x:row r="70">
      <x:c r="A70" s="14" t="str">
        <x:v>ARXIV-PI-0069</x:v>
      </x:c>
      <x:c r="B70" s="14" t="str">
        <x:v>Q-030</x:v>
      </x:c>
      <x:c r="C70" s="14" t="str">
        <x:v>arxiv v1.4 holographic tweezer control</x:v>
      </x:c>
      <x:c r="D70" s="14" t="str">
        <x:v>2604.04600</x:v>
      </x:c>
      <x:c r="E70" s="14" t="str">
        <x:v>v1</x:v>
      </x:c>
      <x:c r="F70" s="14" t="str">
        <x:v>Phase-Stable Hologram Updates for Large-Scale Neutral-Atom Array Reconfiguration</x:v>
      </x:c>
      <x:c r="G70" s="14" t="n">
        <x:v>2026</x:v>
      </x:c>
      <x:c r="H70" s="14" t="str">
        <x:v>2026-04-06</x:v>
      </x:c>
      <x:c r="I70" s="14"/>
      <x:c r="J70" s="14" t="str">
        <x:v>quant-ph</x:v>
      </x:c>
      <x:c r="K70" s="14" t="str">
        <x:v>quant-ph; physics.atom-ph</x:v>
      </x:c>
      <x:c r="L70" s="14" t="str">
        <x:v>dynamic holographic optical tweezers; Rydberg atom arrays; reconfiguration</x:v>
      </x:c>
      <x:c r="M70" s="14" t="str">
        <x:v>include</x:v>
      </x:c>
      <x:c r="N70" s="14" t="str">
        <x:v>Algorithm/control paper explicitly for dynamic holographic optical tweezers and large-scale Rydberg atom-array reconfiguration.</x:v>
      </x:c>
      <x:c r="O70" s="14" t="str">
        <x:v>Jin-Guo Liu</x:v>
      </x:c>
      <x:c r="P70" s="14" t="str">
        <x:v>Jin-Guo Liu</x:v>
      </x:c>
      <x:c r="Q70" s="14" t="str">
        <x:v>yes</x:v>
      </x:c>
      <x:c r="R70" s="14" t="str">
        <x:v>HKUST(GZ) / Quantum Bay (matched existing DB row; canonicalization needed)</x:v>
      </x:c>
      <x:c r="S70" s="14" t="str">
        <x:v>arxiv_abs + existing DB QC</x:v>
      </x:c>
      <x:c r="T70" s="14" t="str">
        <x:v>Hong Kong University of Science and Technology (Guangzhou)</x:v>
      </x:c>
      <x:c r="U70" s="14"/>
      <x:c r="V70" s="14" t="str">
        <x:v>Guangzhou</x:v>
      </x:c>
      <x:c r="W70" s="14" t="str">
        <x:v>China</x:v>
      </x:c>
      <x:c r="X70" s="14" t="n">
        <x:v>23.1291</x:v>
      </x:c>
      <x:c r="Y70" s="14" t="n">
        <x:v>113.2644</x:v>
      </x:c>
      <x:c r="Z70" s="14" t="str">
        <x:v>E-048</x:v>
      </x:c>
      <x:c r="AA70" s="14" t="str">
        <x:v>matched</x:v>
      </x:c>
      <x:c r="AB70" s="14"/>
      <x:c r="AC70" s="14" t="str">
        <x:v>https://arxiv.org/abs/2604.04600</x:v>
      </x:c>
      <x:c r="AD70" s="14" t="str">
        <x:v>https://arxiv.org/pdf/2604.04600</x:v>
      </x:c>
      <x:c r="AE70" s="14"/>
      <x:c r="AF70" s="14" t="str">
        <x:v>B</x:v>
      </x:c>
      <x:c r="AG70" s="14" t="str">
        <x:v>Important infrastructure/control-theory signal for future map layer: holograms, SLM updates, reconfiguration.</x:v>
      </x:c>
      <x:c r="AH70" s="53" t="b">
        <x:v>0</x:v>
      </x:c>
    </x:row>
    <x:row r="71">
      <x:c r="A71" s="14" t="str">
        <x:v>ARXIV-PI-0070</x:v>
      </x:c>
      <x:c r="B71" s="14" t="str">
        <x:v>Q-031</x:v>
      </x:c>
      <x:c r="C71" s="14" t="str">
        <x:v>arxiv v1.4 Yb architecture/QEC</x:v>
      </x:c>
      <x:c r="D71" s="14" t="str">
        <x:v>2606.08453</x:v>
      </x:c>
      <x:c r="E71" s="14" t="str">
        <x:v>v1</x:v>
      </x:c>
      <x:c r="F71" s="14" t="str">
        <x:v>A Dual Metastable-State Encoding Architecture for Quantum Processing with 171Yb Atom Arrays</x:v>
      </x:c>
      <x:c r="G71" s="14" t="n">
        <x:v>2026</x:v>
      </x:c>
      <x:c r="H71" s="14" t="str">
        <x:v>2026-06-07</x:v>
      </x:c>
      <x:c r="I71" s="14"/>
      <x:c r="J71" s="14" t="str">
        <x:v>quant-ph</x:v>
      </x:c>
      <x:c r="K71" s="14" t="str">
        <x:v>quant-ph; physics.atom-ph</x:v>
      </x:c>
      <x:c r="L71" s="14" t="str">
        <x:v>Yb atom arrays; Rydberg-mediated interactions; metastable-state encoding; QEC architecture</x:v>
      </x:c>
      <x:c r="M71" s="14" t="str">
        <x:v>include</x:v>
      </x:c>
      <x:c r="N71" s="14" t="str">
        <x:v>Architecture paper for neutral-atom QIP with Rydberg-mediated entangling interactions and Yb metastable encoding.</x:v>
      </x:c>
      <x:c r="O71" s="14" t="str">
        <x:v>Alex P. Burgers</x:v>
      </x:c>
      <x:c r="P71" s="14" t="str">
        <x:v>Alex P. Burgers</x:v>
      </x:c>
      <x:c r="Q71" s="14" t="str">
        <x:v>yes</x:v>
      </x:c>
      <x:c r="R71" s="14" t="str">
        <x:v>University of Michigan</x:v>
      </x:c>
      <x:c r="S71" s="14" t="str">
        <x:v>arxiv_abs + existing DB row</x:v>
      </x:c>
      <x:c r="T71" s="14" t="str">
        <x:v>University of Michigan</x:v>
      </x:c>
      <x:c r="U71" s="14"/>
      <x:c r="V71" s="14" t="str">
        <x:v>Ann Arbor</x:v>
      </x:c>
      <x:c r="W71" s="14" t="str">
        <x:v>United States</x:v>
      </x:c>
      <x:c r="X71" s="14" t="n">
        <x:v>42.2808</x:v>
      </x:c>
      <x:c r="Y71" s="14" t="n">
        <x:v>-83.743</x:v>
      </x:c>
      <x:c r="Z71" s="14" t="str">
        <x:v>E-051</x:v>
      </x:c>
      <x:c r="AA71" s="14" t="str">
        <x:v>matched</x:v>
      </x:c>
      <x:c r="AB71" s="14"/>
      <x:c r="AC71" s="14" t="str">
        <x:v>https://arxiv.org/abs/2606.08453</x:v>
      </x:c>
      <x:c r="AD71" s="14" t="str">
        <x:v>https://arxiv.org/pdf/2606.08453</x:v>
      </x:c>
      <x:c r="AE71" s="14"/>
      <x:c r="AF71" s="14" t="str">
        <x:v>B</x:v>
      </x:c>
      <x:c r="AG71" s="14" t="str">
        <x:v>Updates Burgers Yb architecture node with new 2026 QEC/encoding paper.</x:v>
      </x:c>
      <x:c r="AH71" s="53" t="b">
        <x:v>0</x:v>
      </x:c>
    </x:row>
    <x:row r="72">
      <x:c r="A72" s="14" t="str">
        <x:v>ARXIV-PI-0071</x:v>
      </x:c>
      <x:c r="B72" s="14" t="str">
        <x:v>Q-032</x:v>
      </x:c>
      <x:c r="C72" s="14" t="str">
        <x:v>arxiv v1.4 optimal-control theory</x:v>
      </x:c>
      <x:c r="D72" s="14" t="str">
        <x:v>2605.04628</x:v>
      </x:c>
      <x:c r="E72" s="14" t="str">
        <x:v>v1</x:v>
      </x:c>
      <x:c r="F72" s="14" t="str">
        <x:v>Intelligent Optimal Control of Rydberg Gates with Incremental-Update Deep Reinforcement Learning</x:v>
      </x:c>
      <x:c r="G72" s="14" t="n">
        <x:v>2026</x:v>
      </x:c>
      <x:c r="H72" s="14" t="str">
        <x:v>2026-05-06</x:v>
      </x:c>
      <x:c r="I72" s="14"/>
      <x:c r="J72" s="14" t="str">
        <x:v>quant-ph</x:v>
      </x:c>
      <x:c r="K72" s="14" t="str">
        <x:v>quant-ph</x:v>
      </x:c>
      <x:c r="L72" s="14" t="str">
        <x:v>Rydberg gates; optimal control; deep reinforcement learning; CNOT</x:v>
      </x:c>
      <x:c r="M72" s="14" t="str">
        <x:v>include</x:v>
      </x:c>
      <x:c r="N72" s="14" t="str">
        <x:v>Theory/control paper for high-fidelity Rydberg gates; useful for software/control layer.</x:v>
      </x:c>
      <x:c r="O72" s="14" t="str">
        <x:v>Jing Qian</x:v>
      </x:c>
      <x:c r="P72" s="14" t="str">
        <x:v>Jing Qian</x:v>
      </x:c>
      <x:c r="Q72" s="14" t="str">
        <x:v>yes</x:v>
      </x:c>
      <x:c r="R72" s="14" t="str">
        <x:v>East China Normal University (needs confirmation)</x:v>
      </x:c>
      <x:c r="S72" s="14" t="str">
        <x:v>arxiv_abs + search snippet</x:v>
      </x:c>
      <x:c r="T72" s="14" t="str">
        <x:v>East China Normal University</x:v>
      </x:c>
      <x:c r="U72" s="14"/>
      <x:c r="V72" s="14" t="str">
        <x:v>Shanghai</x:v>
      </x:c>
      <x:c r="W72" s="14" t="str">
        <x:v>China</x:v>
      </x:c>
      <x:c r="X72" s="14" t="n">
        <x:v>31.2304</x:v>
      </x:c>
      <x:c r="Y72" s="14" t="n">
        <x:v>121.4737</x:v>
      </x:c>
      <x:c r="Z72" s="14"/>
      <x:c r="AA72" s="14" t="str">
        <x:v>new_candidate</x:v>
      </x:c>
      <x:c r="AB72" s="14"/>
      <x:c r="AC72" s="14" t="str">
        <x:v>https://arxiv.org/abs/2605.04628</x:v>
      </x:c>
      <x:c r="AD72" s="14" t="str">
        <x:v>https://arxiv.org/pdf/2605.04628</x:v>
      </x:c>
      <x:c r="AE72" s="14"/>
      <x:c r="AF72" s="14" t="str">
        <x:v>C/B</x:v>
      </x:c>
      <x:c r="AG72" s="14" t="str">
        <x:v>Promote only if additional Rydberg-array gate-control papers are found; affiliation should be checked from PDF/official page.</x:v>
      </x:c>
      <x:c r="AH72" s="53" t="b">
        <x:v>1</x:v>
      </x:c>
    </x:row>
    <x:row r="73">
      <x:c r="A73" s="14" t="str">
        <x:v>ARXIV-PI-0072</x:v>
      </x:c>
      <x:c r="B73" s="14" t="str">
        <x:v>Q-033</x:v>
      </x:c>
      <x:c r="C73" s="14" t="str">
        <x:v>arxiv v1.4 Rydberg technical hardware</x:v>
      </x:c>
      <x:c r="D73" s="14" t="str">
        <x:v>2409.11865</x:v>
      </x:c>
      <x:c r="E73" s="14" t="str">
        <x:v>v1</x:v>
      </x:c>
      <x:c r="F73" s="14" t="str">
        <x:v>Electric field control for experiments with atoms in Rydberg states</x:v>
      </x:c>
      <x:c r="G73" s="14" t="n">
        <x:v>2024</x:v>
      </x:c>
      <x:c r="H73" s="14" t="str">
        <x:v>2024-09-18</x:v>
      </x:c>
      <x:c r="I73" s="14"/>
      <x:c r="J73" s="14" t="str">
        <x:v>physics.atom-ph</x:v>
      </x:c>
      <x:c r="K73" s="14" t="str">
        <x:v>physics.atom-ph</x:v>
      </x:c>
      <x:c r="L73" s="14" t="str">
        <x:v>Rydberg states; stray electric field cancellation; glass cell; electrode assembly</x:v>
      </x:c>
      <x:c r="M73" s="14" t="str">
        <x:v>include</x:v>
      </x:c>
      <x:c r="N73" s="14" t="str">
        <x:v>Technical experimental paper directly relevant to Rydberg array hardware constraints and electric-field control.</x:v>
      </x:c>
      <x:c r="O73" s="14" t="str">
        <x:v>Qi-Yu Liang</x:v>
      </x:c>
      <x:c r="P73" s="14" t="str">
        <x:v>Qi-Yu Liang</x:v>
      </x:c>
      <x:c r="Q73" s="14" t="str">
        <x:v>yes</x:v>
      </x:c>
      <x:c r="R73" s="14" t="str">
        <x:v>Purdue University</x:v>
      </x:c>
      <x:c r="S73" s="14" t="str">
        <x:v>arxiv_html</x:v>
      </x:c>
      <x:c r="T73" s="14" t="str">
        <x:v>Purdue University</x:v>
      </x:c>
      <x:c r="U73" s="14"/>
      <x:c r="V73" s="14" t="str">
        <x:v>West Lafayette</x:v>
      </x:c>
      <x:c r="W73" s="14" t="str">
        <x:v>United States</x:v>
      </x:c>
      <x:c r="X73" s="14" t="n">
        <x:v>40.4237</x:v>
      </x:c>
      <x:c r="Y73" s="14" t="n">
        <x:v>-86.9212</x:v>
      </x:c>
      <x:c r="Z73" s="14"/>
      <x:c r="AA73" s="14" t="str">
        <x:v>new_candidate</x:v>
      </x:c>
      <x:c r="AB73" s="14"/>
      <x:c r="AC73" s="14" t="str">
        <x:v>https://arxiv.org/abs/2409.11865</x:v>
      </x:c>
      <x:c r="AD73" s="14" t="str">
        <x:v>https://arxiv.org/pdf/2409.11865</x:v>
      </x:c>
      <x:c r="AE73" s="14" t="str">
        <x:v>https://sites.google.com/view/qiyuliang</x:v>
      </x:c>
      <x:c r="AF73" s="14" t="str">
        <x:v>B/C</x:v>
      </x:c>
      <x:c r="AG73" s="14" t="str">
        <x:v>Technical node, not necessarily optical-tweezer-array processor; useful for Rydberg experimental infrastructure layer.</x:v>
      </x:c>
      <x:c r="AH73" s="53" t="b">
        <x:v>0</x:v>
      </x:c>
    </x:row>
    <x:row r="74">
      <x:c r="A74" s="14" t="str">
        <x:v>ARXIV-PI-0073</x:v>
      </x:c>
      <x:c r="B74" s="14" t="str">
        <x:v>Q-034</x:v>
      </x:c>
      <x:c r="C74" s="14" t="str">
        <x:v>arxiv v1.4 circular Rydberg tweezers</x:v>
      </x:c>
      <x:c r="D74" s="14" t="str">
        <x:v>2401.10625</x:v>
      </x:c>
      <x:c r="E74" s="14" t="str">
        <x:v>v2</x:v>
      </x:c>
      <x:c r="F74" s="14" t="str">
        <x:v>Long-Lived Circular Rydberg Qubits of Alkaline-Earth Atoms in Optical Tweezers</x:v>
      </x:c>
      <x:c r="G74" s="14" t="n">
        <x:v>2024</x:v>
      </x:c>
      <x:c r="H74" s="14" t="str">
        <x:v>2024-01-19</x:v>
      </x:c>
      <x:c r="I74" s="14" t="str">
        <x:v>2024-03-04</x:v>
      </x:c>
      <x:c r="J74" s="14" t="str">
        <x:v>physics.atom-ph</x:v>
      </x:c>
      <x:c r="K74" s="14" t="str">
        <x:v>physics.atom-ph; cond-mat.quant-gas; quant-ph</x:v>
      </x:c>
      <x:c r="L74" s="14" t="str">
        <x:v>circular Rydberg atoms; Sr; optical tweezers; alkaline-earth</x:v>
      </x:c>
      <x:c r="M74" s="14" t="str">
        <x:v>include</x:v>
      </x:c>
      <x:c r="N74" s="14" t="str">
        <x:v>Experimental paper directly demonstrating alkaline-earth circular Rydberg atoms in optical tweezers.</x:v>
      </x:c>
      <x:c r="O74" s="14" t="str">
        <x:v>Florian Meinert</x:v>
      </x:c>
      <x:c r="P74" s="14" t="str">
        <x:v>Florian Meinert</x:v>
      </x:c>
      <x:c r="Q74" s="14" t="str">
        <x:v>yes</x:v>
      </x:c>
      <x:c r="R74" s="14" t="str">
        <x:v>University of Stuttgart</x:v>
      </x:c>
      <x:c r="S74" s="14" t="str">
        <x:v>arxiv_abs + existing DB row</x:v>
      </x:c>
      <x:c r="T74" s="14" t="str">
        <x:v>University of Stuttgart</x:v>
      </x:c>
      <x:c r="U74" s="14"/>
      <x:c r="V74" s="14" t="str">
        <x:v>Stuttgart</x:v>
      </x:c>
      <x:c r="W74" s="14" t="str">
        <x:v>Germany</x:v>
      </x:c>
      <x:c r="X74" s="14" t="n">
        <x:v>48.7758</x:v>
      </x:c>
      <x:c r="Y74" s="14" t="n">
        <x:v>9.1829</x:v>
      </x:c>
      <x:c r="Z74" s="14" t="str">
        <x:v>E-011</x:v>
      </x:c>
      <x:c r="AA74" s="14" t="str">
        <x:v>matched</x:v>
      </x:c>
      <x:c r="AB74" s="14"/>
      <x:c r="AC74" s="14" t="str">
        <x:v>https://arxiv.org/abs/2401.10625</x:v>
      </x:c>
      <x:c r="AD74" s="14" t="str">
        <x:v>https://arxiv.org/pdf/2401.10625</x:v>
      </x:c>
      <x:c r="AE74" s="14"/>
      <x:c r="AF74" s="14" t="str">
        <x:v>A/B</x:v>
      </x:c>
      <x:c r="AG74" s="14" t="str">
        <x:v>Adds circular-Rydberg/alkaline-earth tweezer signal to the Stuttgart/QRydDemo ecosystem.</x:v>
      </x:c>
      <x:c r="AH74" s="53" t="b">
        <x:v>0</x:v>
      </x:c>
    </x:row>
    <x:row r="75">
      <x:c r="A75" s="14" t="str">
        <x:v>ARXIV-PI-0074</x:v>
      </x:c>
      <x:c r="B75" s="14" t="str">
        <x:v>Q-034</x:v>
      </x:c>
      <x:c r="C75" s="14" t="str">
        <x:v>arxiv v1.4 Rydberg molecules/tweezers</x:v>
      </x:c>
      <x:c r="D75" s="14" t="str">
        <x:v>2412.14888</x:v>
      </x:c>
      <x:c r="E75" s="14" t="str">
        <x:v>v2</x:v>
      </x:c>
      <x:c r="F75" s="14" t="str">
        <x:v>Individual assembly of two-species Rydberg molecules using optical tweezers</x:v>
      </x:c>
      <x:c r="G75" s="14" t="n">
        <x:v>2024</x:v>
      </x:c>
      <x:c r="H75" s="14" t="str">
        <x:v>2024-12-19</x:v>
      </x:c>
      <x:c r="I75" s="14" t="str">
        <x:v>2025-03-13</x:v>
      </x:c>
      <x:c r="J75" s="14" t="str">
        <x:v>physics.atom-ph</x:v>
      </x:c>
      <x:c r="K75" s="14" t="str">
        <x:v>physics.atom-ph; quant-ph</x:v>
      </x:c>
      <x:c r="L75" s="14" t="str">
        <x:v>Rydberg molecules; RbCs; optical tweezers; two-species assembly</x:v>
      </x:c>
      <x:c r="M75" s="14" t="str">
        <x:v>include_as_adjacent</x:v>
      </x:c>
      <x:c r="N75" s="14" t="str">
        <x:v>Adjacent but valuable: Rydberg molecules in optical tweezers, not standard atom-array quantum processor.</x:v>
      </x:c>
      <x:c r="O75" s="14" t="str">
        <x:v>Simon L. Cornish</x:v>
      </x:c>
      <x:c r="P75" s="14" t="str">
        <x:v>Simon Cornish</x:v>
      </x:c>
      <x:c r="Q75" s="14" t="str">
        <x:v>yes</x:v>
      </x:c>
      <x:c r="R75" s="14" t="str">
        <x:v>Durham University</x:v>
      </x:c>
      <x:c r="S75" s="14" t="str">
        <x:v>arxiv_abs + existing DB row</x:v>
      </x:c>
      <x:c r="T75" s="14" t="str">
        <x:v>Durham University</x:v>
      </x:c>
      <x:c r="U75" s="14"/>
      <x:c r="V75" s="14" t="str">
        <x:v>Durham</x:v>
      </x:c>
      <x:c r="W75" s="14" t="str">
        <x:v>United Kingdom</x:v>
      </x:c>
      <x:c r="X75" s="14" t="n">
        <x:v>54.7753</x:v>
      </x:c>
      <x:c r="Y75" s="14" t="n">
        <x:v>-1.5849</x:v>
      </x:c>
      <x:c r="Z75" s="14" t="str">
        <x:v>E-040</x:v>
      </x:c>
      <x:c r="AA75" s="14" t="str">
        <x:v>matched</x:v>
      </x:c>
      <x:c r="AB75" s="14"/>
      <x:c r="AC75" s="14" t="str">
        <x:v>https://arxiv.org/abs/2412.14888</x:v>
      </x:c>
      <x:c r="AD75" s="14" t="str">
        <x:v>https://arxiv.org/pdf/2412.14888</x:v>
      </x:c>
      <x:c r="AE75" s="14"/>
      <x:c r="AF75" s="14" t="str">
        <x:v>C</x:v>
      </x:c>
      <x:c r="AG75" s="14" t="str">
        <x:v>Keep adjacent; relevant if map includes Rydberg tweezer molecular platforms.</x:v>
      </x:c>
      <x:c r="AH75" s="53" t="b">
        <x:v>0</x:v>
      </x:c>
    </x:row>
    <x:row r="76">
      <x:c r="A76" s="14" t="str">
        <x:v>ARXIV-PI-0075</x:v>
      </x:c>
      <x:c r="B76" s="14" t="str">
        <x:v>Q-035</x:v>
      </x:c>
      <x:c r="C76" s="14" t="str">
        <x:v>arxiv v1.4 cooling/theory for tweezers</x:v>
      </x:c>
      <x:c r="D76" s="14" t="str">
        <x:v>2406.19153</x:v>
      </x:c>
      <x:c r="E76" s="14" t="str">
        <x:v>v3</x:v>
      </x:c>
      <x:c r="F76" s="14" t="str">
        <x:v>A Generalized Theory for Optical Cooling of a Trapped Atom with Spin</x:v>
      </x:c>
      <x:c r="G76" s="14" t="n">
        <x:v>2024</x:v>
      </x:c>
      <x:c r="H76" s="14" t="str">
        <x:v>2024-06-27</x:v>
      </x:c>
      <x:c r="I76" s="14" t="str">
        <x:v>2024-09-19</x:v>
      </x:c>
      <x:c r="J76" s="14" t="str">
        <x:v>physics.atom-ph</x:v>
      </x:c>
      <x:c r="K76" s="14" t="str">
        <x:v>physics.atom-ph; quant-ph</x:v>
      </x:c>
      <x:c r="L76" s="14" t="str">
        <x:v>optical cooling; trapped atom with spin; neutral atom tweezers; Rydberg/molecular gates</x:v>
      </x:c>
      <x:c r="M76" s="14" t="str">
        <x:v>include_as_adjacent</x:v>
      </x:c>
      <x:c r="N76" s="14" t="str">
        <x:v>Cooling theory for neutral-atom tweezers; relevant as enabling layer for Rydberg and molecular gates.</x:v>
      </x:c>
      <x:c r="O76" s="14" t="str">
        <x:v>Jonathan D. Hood</x:v>
      </x:c>
      <x:c r="P76" s="14" t="str">
        <x:v>Jonathan D. Hood</x:v>
      </x:c>
      <x:c r="Q76" s="14" t="str">
        <x:v>yes</x:v>
      </x:c>
      <x:c r="R76" s="14" t="str">
        <x:v>Purdue University (needs confirmation)</x:v>
      </x:c>
      <x:c r="S76" s="14" t="str">
        <x:v>arxiv_abs + APS</x:v>
      </x:c>
      <x:c r="T76" s="14" t="str">
        <x:v>Purdue University</x:v>
      </x:c>
      <x:c r="U76" s="14"/>
      <x:c r="V76" s="14" t="str">
        <x:v>West Lafayette</x:v>
      </x:c>
      <x:c r="W76" s="14" t="str">
        <x:v>United States</x:v>
      </x:c>
      <x:c r="X76" s="14" t="n">
        <x:v>40.4237</x:v>
      </x:c>
      <x:c r="Y76" s="14" t="n">
        <x:v>-86.9212</x:v>
      </x:c>
      <x:c r="Z76" s="14"/>
      <x:c r="AA76" s="14" t="str">
        <x:v>new_candidate</x:v>
      </x:c>
      <x:c r="AB76" s="14"/>
      <x:c r="AC76" s="14" t="str">
        <x:v>https://arxiv.org/abs/2406.19153</x:v>
      </x:c>
      <x:c r="AD76" s="14" t="str">
        <x:v>https://arxiv.org/pdf/2406.19153</x:v>
      </x:c>
      <x:c r="AE76" s="14"/>
      <x:c r="AF76" s="14" t="str">
        <x:v>C/B</x:v>
      </x:c>
      <x:c r="AG76" s="14" t="str">
        <x:v>Candidate enabling-theory/technical node; not core Rydberg array by itself.</x:v>
      </x:c>
      <x:c r="AH76" s="53" t="b">
        <x:v>1</x:v>
      </x:c>
    </x:row>
    <x:row r="77">
      <x:c r="A77" s="14" t="str">
        <x:v>ARXIV-PI-0076</x:v>
      </x:c>
      <x:c r="B77" s="14" t="str">
        <x:v>Q-036</x:v>
      </x:c>
      <x:c r="C77" s="14" t="str">
        <x:v>arxiv v1.4 molecular dynamics theory</x:v>
      </x:c>
      <x:c r="D77" s="14" t="str">
        <x:v>2506.09865</x:v>
      </x:c>
      <x:c r="E77" s="14" t="str">
        <x:v>v1</x:v>
      </x:c>
      <x:c r="F77" s="14" t="str">
        <x:v>Rydberg atom arrays as quantum simulators for molecular dynamics</x:v>
      </x:c>
      <x:c r="G77" s="14" t="n">
        <x:v>2025</x:v>
      </x:c>
      <x:c r="H77" s="14" t="str">
        <x:v>2025-06-11</x:v>
      </x:c>
      <x:c r="I77" s="14"/>
      <x:c r="J77" s="14" t="str">
        <x:v>quant-ph</x:v>
      </x:c>
      <x:c r="K77" s="14" t="str">
        <x:v>quant-ph</x:v>
      </x:c>
      <x:c r="L77" s="14" t="str">
        <x:v>Rydberg atom arrays; optical tweezer arrays; molecular dynamics; vibronic simulation</x:v>
      </x:c>
      <x:c r="M77" s="14" t="str">
        <x:v>include</x:v>
      </x:c>
      <x:c r="N77" s="14" t="str">
        <x:v>Theory/application paper explicitly mapping Rydberg tweezer arrays to molecular dynamics simulation.</x:v>
      </x:c>
      <x:c r="O77" s="14" t="str">
        <x:v>Igor Lesanovsky</x:v>
      </x:c>
      <x:c r="P77" s="14" t="str">
        <x:v>Igor Lesanovsky</x:v>
      </x:c>
      <x:c r="Q77" s="14" t="str">
        <x:v>yes</x:v>
      </x:c>
      <x:c r="R77" s="14" t="str">
        <x:v>University of Tübingen</x:v>
      </x:c>
      <x:c r="S77" s="14" t="str">
        <x:v>arxiv_abs + existing DB row</x:v>
      </x:c>
      <x:c r="T77" s="14" t="str">
        <x:v>University of Tübingen</x:v>
      </x:c>
      <x:c r="U77" s="14"/>
      <x:c r="V77" s="14" t="str">
        <x:v>Tübingen</x:v>
      </x:c>
      <x:c r="W77" s="14" t="str">
        <x:v>Germany</x:v>
      </x:c>
      <x:c r="X77" s="14" t="n">
        <x:v>48.5216</x:v>
      </x:c>
      <x:c r="Y77" s="14" t="n">
        <x:v>9.0576</x:v>
      </x:c>
      <x:c r="Z77" s="14" t="str">
        <x:v>E-017</x:v>
      </x:c>
      <x:c r="AA77" s="14" t="str">
        <x:v>matched</x:v>
      </x:c>
      <x:c r="AB77" s="14"/>
      <x:c r="AC77" s="14" t="str">
        <x:v>https://arxiv.org/abs/2506.09865</x:v>
      </x:c>
      <x:c r="AD77" s="14" t="str">
        <x:v>https://arxiv.org/pdf/2506.09865</x:v>
      </x:c>
      <x:c r="AE77" s="14"/>
      <x:c r="AF77" s="14" t="str">
        <x:v>B</x:v>
      </x:c>
      <x:c r="AG77" s="14" t="str">
        <x:v>Update existing Lesanovsky node; this is exactly the kind of theory/application layer the map should include.</x:v>
      </x:c>
      <x:c r="AH77" s="53" t="b">
        <x:v>0</x:v>
      </x:c>
    </x:row>
    <x:row r="78">
      <x:c r="A78" s="14" t="str">
        <x:v>ARXIV-PI-0077</x:v>
      </x:c>
      <x:c r="B78" s="14" t="str">
        <x:v>Q-037</x:v>
      </x:c>
      <x:c r="C78" s="14" t="str">
        <x:v>arxiv v1.4 spin-motion theory</x:v>
      </x:c>
      <x:c r="D78" s="14" t="str">
        <x:v>2506.22669</x:v>
      </x:c>
      <x:c r="E78" s="14" t="str">
        <x:v>v1</x:v>
      </x:c>
      <x:c r="F78" s="14" t="str">
        <x:v>Lamb-Dicke Dynamics of Interacting Rydberg Atoms Coupled to the Motion of an Optical Tweezer Array</x:v>
      </x:c>
      <x:c r="G78" s="14" t="n">
        <x:v>2025</x:v>
      </x:c>
      <x:c r="H78" s="14" t="str">
        <x:v>2025-06-27</x:v>
      </x:c>
      <x:c r="I78" s="14"/>
      <x:c r="J78" s="14" t="str">
        <x:v>quant-ph</x:v>
      </x:c>
      <x:c r="K78" s="14" t="str">
        <x:v>quant-ph; physics.atom-ph</x:v>
      </x:c>
      <x:c r="L78" s="14" t="str">
        <x:v>Rydberg atoms; optical tweezer array; motion; Lamb-Dicke dynamics</x:v>
      </x:c>
      <x:c r="M78" s="14" t="str">
        <x:v>include</x:v>
      </x:c>
      <x:c r="N78" s="14" t="str">
        <x:v>Theory paper directly about motional dynamics of interacting Rydberg atoms in optical tweezer arrays.</x:v>
      </x:c>
      <x:c r="O78" s="14" t="str">
        <x:v>Ludwig Mathey</x:v>
      </x:c>
      <x:c r="P78" s="14" t="str">
        <x:v>Ludwig Mathey</x:v>
      </x:c>
      <x:c r="Q78" s="14" t="str">
        <x:v>yes</x:v>
      </x:c>
      <x:c r="R78" s="14" t="str">
        <x:v>University of Hamburg</x:v>
      </x:c>
      <x:c r="S78" s="14" t="str">
        <x:v>arxiv_abs + official page search</x:v>
      </x:c>
      <x:c r="T78" s="14" t="str">
        <x:v>University of Hamburg</x:v>
      </x:c>
      <x:c r="U78" s="14"/>
      <x:c r="V78" s="14" t="str">
        <x:v>Hamburg</x:v>
      </x:c>
      <x:c r="W78" s="14" t="str">
        <x:v>Germany</x:v>
      </x:c>
      <x:c r="X78" s="14" t="n">
        <x:v>53.5511</x:v>
      </x:c>
      <x:c r="Y78" s="14" t="n">
        <x:v>9.9937</x:v>
      </x:c>
      <x:c r="Z78" s="14"/>
      <x:c r="AA78" s="14" t="str">
        <x:v>new_candidate</x:v>
      </x:c>
      <x:c r="AB78" s="14"/>
      <x:c r="AC78" s="14" t="str">
        <x:v>https://arxiv.org/abs/2506.22669</x:v>
      </x:c>
      <x:c r="AD78" s="14" t="str">
        <x:v>https://arxiv.org/pdf/2506.22669</x:v>
      </x:c>
      <x:c r="AE78" s="14" t="str">
        <x:v>https://www.physik.uni-hamburg.de/en/iqp/mathey.html</x:v>
      </x:c>
      <x:c r="AF78" s="14" t="str">
        <x:v>B/C</x:v>
      </x:c>
      <x:c r="AG78" s="14" t="str">
        <x:v>Good theory candidate for spin-motion / finite-temperature / motional-error layer.</x:v>
      </x:c>
      <x:c r="AH78" s="53" t="b">
        <x:v>0</x:v>
      </x:c>
    </x:row>
    <x:row r="79">
      <x:c r="A79" s="14" t="str">
        <x:v>ARXIV-PI-0078</x:v>
      </x:c>
      <x:c r="B79" s="14" t="str">
        <x:v>Q-038</x:v>
      </x:c>
      <x:c r="C79" s="14" t="str">
        <x:v>arxiv v1.4 Rydberg fractal experiment/theory</x:v>
      </x:c>
      <x:c r="D79" s="14" t="str">
        <x:v>2509.03514</x:v>
      </x:c>
      <x:c r="E79" s="14" t="str">
        <x:v>v1</x:v>
      </x:c>
      <x:c r="F79" s="14" t="str">
        <x:v>Control of single spin-flips in a Rydberg atomic fractal</x:v>
      </x:c>
      <x:c r="G79" s="14" t="n">
        <x:v>2025</x:v>
      </x:c>
      <x:c r="H79" s="14" t="str">
        <x:v>2025-09-03</x:v>
      </x:c>
      <x:c r="I79" s="14"/>
      <x:c r="J79" s="14" t="str">
        <x:v>cond-mat.quant-gas</x:v>
      </x:c>
      <x:c r="K79" s="14" t="str">
        <x:v>cond-mat.quant-gas; cond-mat.dis-nn; quant-ph</x:v>
      </x:c>
      <x:c r="L79" s="14" t="str">
        <x:v>Rydberg atoms; optical tweezers; fractal geometry; Sr experiments</x:v>
      </x:c>
      <x:c r="M79" s="14" t="str">
        <x:v>include</x:v>
      </x:c>
      <x:c r="N79" s="14" t="str">
        <x:v>Mixed experimental/theory paper with single Sr atoms in optical tweezers arranged in fractal geometry.</x:v>
      </x:c>
      <x:c r="O79" s="14" t="str">
        <x:v>Cristiane Morais Smith</x:v>
      </x:c>
      <x:c r="P79" s="14" t="str">
        <x:v>Cristiane Morais Smith</x:v>
      </x:c>
      <x:c r="Q79" s="14" t="str">
        <x:v>yes</x:v>
      </x:c>
      <x:c r="R79" s="14" t="str">
        <x:v>Utrecht University</x:v>
      </x:c>
      <x:c r="S79" s="14" t="str">
        <x:v>arxiv_abs + official publication page</x:v>
      </x:c>
      <x:c r="T79" s="14" t="str">
        <x:v>Utrecht University</x:v>
      </x:c>
      <x:c r="U79" s="14"/>
      <x:c r="V79" s="14" t="str">
        <x:v>Utrecht</x:v>
      </x:c>
      <x:c r="W79" s="14" t="str">
        <x:v>Netherlands</x:v>
      </x:c>
      <x:c r="X79" s="14" t="n">
        <x:v>52.0907</x:v>
      </x:c>
      <x:c r="Y79" s="14" t="n">
        <x:v>5.1214</x:v>
      </x:c>
      <x:c r="Z79" s="14"/>
      <x:c r="AA79" s="14" t="str">
        <x:v>new_candidate</x:v>
      </x:c>
      <x:c r="AB79" s="14"/>
      <x:c r="AC79" s="14" t="str">
        <x:v>https://arxiv.org/abs/2509.03514</x:v>
      </x:c>
      <x:c r="AD79" s="14" t="str">
        <x:v>https://arxiv.org/pdf/2509.03514</x:v>
      </x:c>
      <x:c r="AE79" s="14" t="str">
        <x:v>https://www.uu.nl/staff/CdeMoraisSmith/Publications</x:v>
      </x:c>
      <x:c r="AF79" s="14" t="str">
        <x:v>B/C</x:v>
      </x:c>
      <x:c r="AG79" s="14" t="str">
        <x:v>Interesting mixed theory/experiment signal; needs disambiguation with Schreck/Spreeuw experimental Sr platform.</x:v>
      </x:c>
      <x:c r="AH79" s="53" t="b">
        <x:v>1</x:v>
      </x:c>
    </x:row>
    <x:row r="80">
      <x:c r="A80" s="14" t="str">
        <x:v>ARXIV-PI-0079</x:v>
      </x:c>
      <x:c r="B80" s="14" t="str">
        <x:v>Q-039</x:v>
      </x:c>
      <x:c r="C80" s="14" t="str">
        <x:v>arxiv v1.4 disorder theory</x:v>
      </x:c>
      <x:c r="D80" s="14" t="str">
        <x:v>2506.11985</x:v>
      </x:c>
      <x:c r="E80" s="14" t="str">
        <x:v>v3</x:v>
      </x:c>
      <x:c r="F80" s="14" t="str">
        <x:v>Infinite randomness criticality and localization of the floating phase in arrays of Rydberg atoms trapped with non-perfect tweezers</x:v>
      </x:c>
      <x:c r="G80" s="14" t="n">
        <x:v>2025</x:v>
      </x:c>
      <x:c r="H80" s="14" t="str">
        <x:v>2025-06-13</x:v>
      </x:c>
      <x:c r="I80" s="14" t="str">
        <x:v>2026-04-18</x:v>
      </x:c>
      <x:c r="J80" s="14" t="str">
        <x:v>cond-mat.str-el</x:v>
      </x:c>
      <x:c r="K80" s="14" t="str">
        <x:v>cond-mat.str-el</x:v>
      </x:c>
      <x:c r="L80" s="14" t="str">
        <x:v>Rydberg atoms; non-perfect tweezers; disorder; criticality; theory</x:v>
      </x:c>
      <x:c r="M80" s="14" t="str">
        <x:v>include</x:v>
      </x:c>
      <x:c r="N80" s="14" t="str">
        <x:v>Theory paper directly motivated by realistic optical-tweezer imperfections in Rydberg arrays.</x:v>
      </x:c>
      <x:c r="O80" s="14" t="str">
        <x:v>Natalia Chepiga</x:v>
      </x:c>
      <x:c r="P80" s="14" t="str">
        <x:v>Natalia Chepiga</x:v>
      </x:c>
      <x:c r="Q80" s="14" t="str">
        <x:v>yes</x:v>
      </x:c>
      <x:c r="R80" s="14" t="str">
        <x:v>Delft University of Technology</x:v>
      </x:c>
      <x:c r="S80" s="14" t="str">
        <x:v>arxiv_abs + TU Delft publication/CV</x:v>
      </x:c>
      <x:c r="T80" s="14" t="str">
        <x:v>Delft University of Technology</x:v>
      </x:c>
      <x:c r="U80" s="14"/>
      <x:c r="V80" s="14" t="str">
        <x:v>Delft</x:v>
      </x:c>
      <x:c r="W80" s="14" t="str">
        <x:v>Netherlands</x:v>
      </x:c>
      <x:c r="X80" s="14" t="n">
        <x:v>52.0116</x:v>
      </x:c>
      <x:c r="Y80" s="14" t="n">
        <x:v>4.3571</x:v>
      </x:c>
      <x:c r="Z80" s="14"/>
      <x:c r="AA80" s="14" t="str">
        <x:v>new_candidate</x:v>
      </x:c>
      <x:c r="AB80" s="14"/>
      <x:c r="AC80" s="14" t="str">
        <x:v>https://arxiv.org/abs/2506.11985</x:v>
      </x:c>
      <x:c r="AD80" s="14" t="str">
        <x:v>https://arxiv.org/pdf/2506.11985</x:v>
      </x:c>
      <x:c r="AE80" s="14" t="str">
        <x:v>https://research.tudelft.nl/en/publications/infinite-randomness-criticality-and-localization-of-the-floating-/</x:v>
      </x:c>
      <x:c r="AF80" s="14" t="str">
        <x:v>B</x:v>
      </x:c>
      <x:c r="AG80" s="14" t="str">
        <x:v>Strong theory candidate for imperfections/disorder in Rydberg tweezer simulators.</x:v>
      </x:c>
      <x:c r="AH80" s="53" t="b">
        <x:v>0</x:v>
      </x:c>
    </x:row>
    <x:row r="81">
      <x:c r="A81" s="14" t="str">
        <x:v>ARXIV-PI-0080</x:v>
      </x:c>
      <x:c r="B81" s="14" t="str">
        <x:v>Q-040</x:v>
      </x:c>
      <x:c r="C81" s="14" t="str">
        <x:v>arxiv v1.4 spin-motion experiment</x:v>
      </x:c>
      <x:c r="D81" s="14" t="str">
        <x:v>2508.08899</x:v>
      </x:c>
      <x:c r="E81" s="14" t="str">
        <x:v>v2</x:v>
      </x:c>
      <x:c r="F81" s="14" t="str">
        <x:v>Probing spin-motion coupling of two Rydberg atoms by a Stern-Gerlach-like experiment</x:v>
      </x:c>
      <x:c r="G81" s="14" t="n">
        <x:v>2025</x:v>
      </x:c>
      <x:c r="H81" s="14" t="str">
        <x:v>2025-08-12</x:v>
      </x:c>
      <x:c r="I81" s="14" t="str">
        <x:v>2025-11-08</x:v>
      </x:c>
      <x:c r="J81" s="14" t="str">
        <x:v>physics.atom-ph</x:v>
      </x:c>
      <x:c r="K81" s="14" t="str">
        <x:v>physics.atom-ph; physics.chem-ph; quant-ph</x:v>
      </x:c>
      <x:c r="L81" s="14" t="str">
        <x:v>Rydberg atoms; optical tweezers; spin-motion coupling; macrodimer</x:v>
      </x:c>
      <x:c r="M81" s="14" t="str">
        <x:v>include</x:v>
      </x:c>
      <x:c r="N81" s="14" t="str">
        <x:v>Experimental paper from the Palaiseau/Institut d'Optique ecosystem measuring spin-motion coupling in a 1D tweezer array.</x:v>
      </x:c>
      <x:c r="O81" s="14" t="str">
        <x:v>Antoine Browaeys</x:v>
      </x:c>
      <x:c r="P81" s="14" t="str">
        <x:v>Antoine Browaeys</x:v>
      </x:c>
      <x:c r="Q81" s="14" t="str">
        <x:v>yes</x:v>
      </x:c>
      <x:c r="R81" s="14" t="str">
        <x:v>Institut d'Optique Graduate School / Laboratoire Charles Fabry</x:v>
      </x:c>
      <x:c r="S81" s="14" t="str">
        <x:v>arxiv_abs + existing DB row</x:v>
      </x:c>
      <x:c r="T81" s="14" t="str">
        <x:v>Institut d'Optique Graduate School / Laboratoire Charles Fabry</x:v>
      </x:c>
      <x:c r="U81" s="14"/>
      <x:c r="V81" s="14" t="str">
        <x:v>Palaiseau</x:v>
      </x:c>
      <x:c r="W81" s="14" t="str">
        <x:v>France</x:v>
      </x:c>
      <x:c r="X81" s="14" t="n">
        <x:v>48.713</x:v>
      </x:c>
      <x:c r="Y81" s="14" t="n">
        <x:v>2.207</x:v>
      </x:c>
      <x:c r="Z81" s="14" t="str">
        <x:v>E-002</x:v>
      </x:c>
      <x:c r="AA81" s="14" t="str">
        <x:v>matched</x:v>
      </x:c>
      <x:c r="AB81" s="14"/>
      <x:c r="AC81" s="14" t="str">
        <x:v>https://arxiv.org/abs/2508.08899</x:v>
      </x:c>
      <x:c r="AD81" s="14" t="str">
        <x:v>https://arxiv.org/pdf/2508.08899</x:v>
      </x:c>
      <x:c r="AE81" s="14"/>
      <x:c r="AF81" s="14" t="str">
        <x:v>A</x:v>
      </x:c>
      <x:c r="AG81" s="14" t="str">
        <x:v>Adds spin-motion/Rydberg molecular-dynamics signal to existing IOGS node.</x:v>
      </x:c>
      <x:c r="AH81" s="53" t="b">
        <x:v>0</x:v>
      </x:c>
    </x:row>
    <x:row r="82">
      <x:c r="A82" s="14" t="str">
        <x:v>ARXIV-PI-0081</x:v>
      </x:c>
      <x:c r="B82" s="14" t="str">
        <x:v>Q-041</x:v>
      </x:c>
      <x:c r="C82" s="14" t="str">
        <x:v>arxiv v1.4 spin-phonon theory</x:v>
      </x:c>
      <x:c r="D82" s="14" t="str">
        <x:v>2507.16751</x:v>
      </x:c>
      <x:c r="E82" s="14" t="str">
        <x:v>v1</x:v>
      </x:c>
      <x:c r="F82" s="14" t="str">
        <x:v>Many-Body Physics from Spin-Phonon Coupling in Rydberg Atom Arrays</x:v>
      </x:c>
      <x:c r="G82" s="14" t="n">
        <x:v>2025</x:v>
      </x:c>
      <x:c r="H82" s="14" t="str">
        <x:v>2025-07-22</x:v>
      </x:c>
      <x:c r="I82" s="14"/>
      <x:c r="J82" s="14" t="str">
        <x:v>cond-mat.quant-gas</x:v>
      </x:c>
      <x:c r="K82" s="14" t="str">
        <x:v>cond-mat.quant-gas; quant-ph</x:v>
      </x:c>
      <x:c r="L82" s="14" t="str">
        <x:v>Rydberg atom arrays; spin-phonon coupling; optical tweezers; many-body theory</x:v>
      </x:c>
      <x:c r="M82" s="14" t="str">
        <x:v>include</x:v>
      </x:c>
      <x:c r="N82" s="14" t="str">
        <x:v>Theory paper on spin-phonon coupling in Rydberg atom arrays; relevant to motional-effects layer.</x:v>
      </x:c>
      <x:c r="O82" s="14" t="str">
        <x:v>Pengfei Zhang</x:v>
      </x:c>
      <x:c r="P82" s="14" t="str">
        <x:v>Pengfei Zhang</x:v>
      </x:c>
      <x:c r="Q82" s="14" t="str">
        <x:v>yes</x:v>
      </x:c>
      <x:c r="R82" s="14" t="str">
        <x:v>Fudan University</x:v>
      </x:c>
      <x:c r="S82" s="14" t="str">
        <x:v>arxiv_abs + existing DB row</x:v>
      </x:c>
      <x:c r="T82" s="14" t="str">
        <x:v>Fudan University</x:v>
      </x:c>
      <x:c r="U82" s="14"/>
      <x:c r="V82" s="14" t="str">
        <x:v>Shanghai</x:v>
      </x:c>
      <x:c r="W82" s="14" t="str">
        <x:v>China</x:v>
      </x:c>
      <x:c r="X82" s="14" t="n">
        <x:v>31.2304</x:v>
      </x:c>
      <x:c r="Y82" s="14" t="n">
        <x:v>121.4737</x:v>
      </x:c>
      <x:c r="Z82" s="14" t="str">
        <x:v>E-049</x:v>
      </x:c>
      <x:c r="AA82" s="14" t="str">
        <x:v>matched</x:v>
      </x:c>
      <x:c r="AB82" s="14"/>
      <x:c r="AC82" s="14" t="str">
        <x:v>https://arxiv.org/abs/2507.16751</x:v>
      </x:c>
      <x:c r="AD82" s="14" t="str">
        <x:v>https://arxiv.org/pdf/2507.16751</x:v>
      </x:c>
      <x:c r="AE82" s="14"/>
      <x:c r="AF82" s="14" t="str">
        <x:v>B</x:v>
      </x:c>
      <x:c r="AG82" s="14" t="str">
        <x:v>Updates existing Pengfei Zhang theory node.</x:v>
      </x:c>
      <x:c r="AH82" s="53" t="b">
        <x:v>0</x:v>
      </x:c>
    </x:row>
    <x:row r="83">
      <x:c r="A83" s="14" t="str">
        <x:v>ARXIV-PI-0082</x:v>
      </x:c>
      <x:c r="B83" s="14" t="str">
        <x:v>Q-042</x:v>
      </x:c>
      <x:c r="C83" s="14" t="str">
        <x:v>arxiv v1.4 amorphous arrays theory</x:v>
      </x:c>
      <x:c r="D83" s="14" t="str">
        <x:v>2505.05117</x:v>
      </x:c>
      <x:c r="E83" s="14" t="str">
        <x:v>v1</x:v>
      </x:c>
      <x:c r="F83" s="14" t="str">
        <x:v>Spin-glass quantum phase transition in amorphous arrays of Rydberg atoms</x:v>
      </x:c>
      <x:c r="G83" s="14" t="n">
        <x:v>2025</x:v>
      </x:c>
      <x:c r="H83" s="14" t="str">
        <x:v>2025-05-08</x:v>
      </x:c>
      <x:c r="I83" s="14"/>
      <x:c r="J83" s="14" t="str">
        <x:v>cond-mat.dis-nn</x:v>
      </x:c>
      <x:c r="K83" s="14" t="str">
        <x:v>cond-mat.dis-nn; cond-mat.stat-mech</x:v>
      </x:c>
      <x:c r="L83" s="14" t="str">
        <x:v>Rydberg atoms; optical tweezers; amorphous arrays; spin glass; QMC</x:v>
      </x:c>
      <x:c r="M83" s="14" t="str">
        <x:v>include</x:v>
      </x:c>
      <x:c r="N83" s="14" t="str">
        <x:v>Theory paper explicitly motivated by neutral atoms in optical tweezers coupled to Rydberg states.</x:v>
      </x:c>
      <x:c r="O83" s="14" t="str">
        <x:v>S. Pilati</x:v>
      </x:c>
      <x:c r="P83" s="14" t="str">
        <x:v>Stefano Pilati</x:v>
      </x:c>
      <x:c r="Q83" s="14" t="str">
        <x:v>yes</x:v>
      </x:c>
      <x:c r="R83" s="14" t="str">
        <x:v>University of Camerino (needs confirmation)</x:v>
      </x:c>
      <x:c r="S83" s="14" t="str">
        <x:v>arxiv_abs_only</x:v>
      </x:c>
      <x:c r="T83" s="14" t="str">
        <x:v>Institution pending</x:v>
      </x:c>
      <x:c r="U83" s="14"/>
      <x:c r="V83" s="14"/>
      <x:c r="W83" s="14"/>
      <x:c r="X83" s="14"/>
      <x:c r="Y83" s="14"/>
      <x:c r="Z83" s="14"/>
      <x:c r="AA83" s="14" t="str">
        <x:v>new_candidate</x:v>
      </x:c>
      <x:c r="AB83" s="14"/>
      <x:c r="AC83" s="14" t="str">
        <x:v>https://arxiv.org/abs/2505.05117</x:v>
      </x:c>
      <x:c r="AD83" s="14" t="str">
        <x:v>https://arxiv.org/pdf/2505.05117</x:v>
      </x:c>
      <x:c r="AE83" s="14"/>
      <x:c r="AF83" s="14" t="str">
        <x:v>C/B</x:v>
      </x:c>
      <x:c r="AG83" s="14" t="str">
        <x:v>Potential theory candidate; affiliation/source cleanup needed before aggregate promotion.</x:v>
      </x:c>
      <x:c r="AH83" s="53" t="b">
        <x:v>1</x:v>
      </x:c>
    </x:row>
    <x:row r="84">
      <x:c r="A84" s="14" t="str">
        <x:v>ARXIV-PI-0083</x:v>
      </x:c>
      <x:c r="B84" s="14" t="str">
        <x:v>Q-043</x:v>
      </x:c>
      <x:c r="C84" s="14" t="str">
        <x:v>arxiv v1.4 cavity/tweezer interface</x:v>
      </x:c>
      <x:c r="D84" s="14" t="str">
        <x:v>2502.13560</x:v>
      </x:c>
      <x:c r="E84" s="14" t="str">
        <x:v>v1</x:v>
      </x:c>
      <x:c r="F84" s="14" t="str">
        <x:v>Tweezer-assisted subwavelength positioning of atomic arrays in an optical cavity</x:v>
      </x:c>
      <x:c r="G84" s="14" t="n">
        <x:v>2025</x:v>
      </x:c>
      <x:c r="H84" s="14" t="str">
        <x:v>2025-02-19</x:v>
      </x:c>
      <x:c r="I84" s="14"/>
      <x:c r="J84" s="14" t="str">
        <x:v>quant-ph</x:v>
      </x:c>
      <x:c r="K84" s="14" t="str">
        <x:v>quant-ph</x:v>
      </x:c>
      <x:c r="L84" s="14" t="str">
        <x:v>optical tweezers; cavity QED; atom arrays; subwavelength positioning</x:v>
      </x:c>
      <x:c r="M84" s="14" t="str">
        <x:v>include_as_adjacent</x:v>
      </x:c>
      <x:c r="N84" s="14" t="str">
        <x:v>Adjacent interface paper: tweezer-assisted atom arrays in optical cavity; Rydberg not central.</x:v>
      </x:c>
      <x:c r="O84" s="14" t="str">
        <x:v>Emanuele Distante</x:v>
      </x:c>
      <x:c r="P84" s="14" t="str">
        <x:v>Emanuele Distante</x:v>
      </x:c>
      <x:c r="Q84" s="14" t="str">
        <x:v>yes</x:v>
      </x:c>
      <x:c r="R84" s="14" t="str">
        <x:v>Max Planck Institute of Quantum Optics (needs confirmation)</x:v>
      </x:c>
      <x:c r="S84" s="14" t="str">
        <x:v>arxiv_abs + MPG record</x:v>
      </x:c>
      <x:c r="T84" s="14" t="str">
        <x:v>Max Planck Institute of Quantum Optics</x:v>
      </x:c>
      <x:c r="U84" s="14"/>
      <x:c r="V84" s="14" t="str">
        <x:v>Garching</x:v>
      </x:c>
      <x:c r="W84" s="14" t="str">
        <x:v>Germany</x:v>
      </x:c>
      <x:c r="X84" s="14" t="n">
        <x:v>48.2489</x:v>
      </x:c>
      <x:c r="Y84" s="14" t="n">
        <x:v>11.651</x:v>
      </x:c>
      <x:c r="Z84" s="14"/>
      <x:c r="AA84" s="14" t="str">
        <x:v>new_candidate</x:v>
      </x:c>
      <x:c r="AB84" s="14"/>
      <x:c r="AC84" s="14" t="str">
        <x:v>https://arxiv.org/abs/2502.13560</x:v>
      </x:c>
      <x:c r="AD84" s="14" t="str">
        <x:v>https://arxiv.org/pdf/2502.13560</x:v>
      </x:c>
      <x:c r="AE84" s="14" t="str">
        <x:v>https://pure.mpg.de/pubman/faces/ViewItemFullPage.jsp?itemId=item_3639328_1&amp;view=EXPORT</x:v>
      </x:c>
      <x:c r="AF84" s="14" t="str">
        <x:v>C</x:v>
      </x:c>
      <x:c r="AG84" s="14" t="str">
        <x:v>Keep adjacent unless the map grows into cavity/interconnect interfaces for neutral-atom arrays.</x:v>
      </x:c>
      <x:c r="AH84" s="53" t="b">
        <x:v>1</x:v>
      </x:c>
    </x:row>
    <x:row r="85">
      <x:c r="A85" s="14" t="str">
        <x:v>ARXIV-PI-0084</x:v>
      </x:c>
      <x:c r="B85" s="14" t="str">
        <x:v>Q-034</x:v>
      </x:c>
      <x:c r="C85" s="14" t="str">
        <x:v>arxiv v1.4 circular Rydberg interactions</x:v>
      </x:c>
      <x:c r="D85" s="14" t="str">
        <x:v>2407.04109</x:v>
      </x:c>
      <x:c r="E85" s="14" t="str">
        <x:v>v1</x:v>
      </x:c>
      <x:c r="F85" s="14" t="str">
        <x:v>Interacting Circular Rydberg Atoms Trapped in Optical Tweezers</x:v>
      </x:c>
      <x:c r="G85" s="14" t="n">
        <x:v>2024</x:v>
      </x:c>
      <x:c r="H85" s="14" t="str">
        <x:v>2024-07-04</x:v>
      </x:c>
      <x:c r="I85" s="14"/>
      <x:c r="J85" s="14" t="str">
        <x:v>physics.atom-ph</x:v>
      </x:c>
      <x:c r="K85" s="14" t="str">
        <x:v>physics.atom-ph; quant-ph</x:v>
      </x:c>
      <x:c r="L85" s="14" t="str">
        <x:v>circular Rydberg atoms; optical tweezers; dipole-dipole interactions</x:v>
      </x:c>
      <x:c r="M85" s="14" t="str">
        <x:v>include_as_adjacent</x:v>
      </x:c>
      <x:c r="N85" s="14" t="str">
        <x:v>Experimental circular Rydberg tweezer paper; adjacent to mainstream low-l Rydberg tweezer arrays.</x:v>
      </x:c>
      <x:c r="O85" s="14" t="str">
        <x:v>Michel Brune</x:v>
      </x:c>
      <x:c r="P85" s="14" t="str">
        <x:v>Michel Brune</x:v>
      </x:c>
      <x:c r="Q85" s="14" t="str">
        <x:v>yes</x:v>
      </x:c>
      <x:c r="R85" s="14" t="str">
        <x:v>Laboratoire Kastler Brossel / ENS-PSL / Sorbonne / Collège de France</x:v>
      </x:c>
      <x:c r="S85" s="14" t="str">
        <x:v>arxiv_abs + existing DB row</x:v>
      </x:c>
      <x:c r="T85" s="14" t="str">
        <x:v>Laboratoire Kastler Brossel / ENS-PSL / Sorbonne / Collège de France</x:v>
      </x:c>
      <x:c r="U85" s="14"/>
      <x:c r="V85" s="14" t="str">
        <x:v>Paris</x:v>
      </x:c>
      <x:c r="W85" s="14" t="str">
        <x:v>France</x:v>
      </x:c>
      <x:c r="X85" s="14" t="n">
        <x:v>48.8566</x:v>
      </x:c>
      <x:c r="Y85" s="14" t="n">
        <x:v>2.3522</x:v>
      </x:c>
      <x:c r="Z85" s="14" t="str">
        <x:v>E-012</x:v>
      </x:c>
      <x:c r="AA85" s="14" t="str">
        <x:v>matched</x:v>
      </x:c>
      <x:c r="AB85" s="14"/>
      <x:c r="AC85" s="14" t="str">
        <x:v>https://arxiv.org/abs/2407.04109</x:v>
      </x:c>
      <x:c r="AD85" s="14" t="str">
        <x:v>https://arxiv.org/pdf/2407.04109</x:v>
      </x:c>
      <x:c r="AE85" s="14"/>
      <x:c r="AF85" s="14" t="str">
        <x:v>B/C</x:v>
      </x:c>
      <x:c r="AG85" s="14" t="str">
        <x:v>Update circular Rydberg atom node; last-author convention imperfect because Sayrin submitted and multiple senior authors are present.</x:v>
      </x:c>
      <x:c r="AH85" s="53" t="b">
        <x:v>0</x:v>
      </x:c>
    </x:row>
    <x:row r="86">
      <x:c r="A86" t="str">
        <x:v>ARXIV-PI-0085</x:v>
      </x:c>
      <x:c r="B86" t="str">
        <x:v>Q-053</x:v>
      </x:c>
      <x:c r="C86" t="str">
        <x:v>arxiv v1.6 supersolid/theory</x:v>
      </x:c>
      <x:c r="D86" t="str">
        <x:v>2407.12752</x:v>
      </x:c>
      <x:c r="E86" t="str">
        <x:v>v3</x:v>
      </x:c>
      <x:c r="F86" t="str">
        <x:v>Supersolidity in Rydberg tweezer arrays</x:v>
      </x:c>
      <x:c r="G86" t="n">
        <x:v>2024</x:v>
      </x:c>
      <x:c r="H86" t="str">
        <x:v>2024-07-17</x:v>
      </x:c>
      <x:c r="I86" t="str">
        <x:v>2025-01-15</x:v>
      </x:c>
      <x:c r="J86" t="str">
        <x:v>cond-mat.quant-gas</x:v>
      </x:c>
      <x:c r="K86" t="str">
        <x:v>cond-mat.quant-gas; cond-mat.stat-mech; quant-ph</x:v>
      </x:c>
      <x:c r="L86" t="str">
        <x:v>Rydberg tweezer arrays; supersolidity; optical tweezers; quantum Monte Carlo</x:v>
      </x:c>
      <x:c r="M86" t="str">
        <x:v>include</x:v>
      </x:c>
      <x:c r="N86" t="str">
        <x:v>Direct phrase hit for Rydberg tweezer arrays; theory/mixed paper with explicit experimental feasibility discussion.</x:v>
      </x:c>
      <x:c r="O86" t="str">
        <x:v>Lode Pollet</x:v>
      </x:c>
      <x:c r="P86" t="str">
        <x:v>Lode Pollet</x:v>
      </x:c>
      <x:c r="Q86" t="str">
        <x:v>yes</x:v>
      </x:c>
      <x:c r="R86" t="str">
        <x:v>LMU Munich / Faculty of Physics</x:v>
      </x:c>
      <x:c r="S86" t="str">
        <x:v>arxiv_abs + APS + official_LMU_page</x:v>
      </x:c>
      <x:c r="T86" t="str">
        <x:v>Ludwig-Maximilians-Universität München (LMU Munich)</x:v>
      </x:c>
      <x:c r="U86"/>
      <x:c r="V86" t="str">
        <x:v>Munich</x:v>
      </x:c>
      <x:c r="W86" t="str">
        <x:v>Germany</x:v>
      </x:c>
      <x:c r="X86" t="n">
        <x:v>48.1351</x:v>
      </x:c>
      <x:c r="Y86" t="n">
        <x:v>11.582</x:v>
      </x:c>
      <x:c r="Z86" t="str">
        <x:v>E-071</x:v>
      </x:c>
      <x:c r="AA86" t="str">
        <x:v>promoted</x:v>
      </x:c>
      <x:c r="AB86"/>
      <x:c r="AC86" t="str">
        <x:v>https://arxiv.org/abs/2407.12752</x:v>
      </x:c>
      <x:c r="AD86" t="str">
        <x:v>https://arxiv.org/pdf/2407.12752</x:v>
      </x:c>
      <x:c r="AE86" t="str">
        <x:v>https://www.theorie.physik.uni-muenchen.de/lsschollwoeck/people/professors/pollet/index.html</x:v>
      </x:c>
      <x:c r="AF86" t="str">
        <x:v>B</x:v>
      </x:c>
      <x:c r="AG86" t="str">
        <x:v>Promoted in v1.7; theory/mixed supersolidity node; Browaeys/IOGS coauthors remain matched to E-002.</x:v>
      </x:c>
      <x:c r="AH86" s="51" t="b">
        <x:v>0</x:v>
      </x:c>
    </x:row>
    <x:row r="87">
      <x:c r="A87" t="str">
        <x:v>ARXIV-PI-0086</x:v>
      </x:c>
      <x:c r="B87" t="str">
        <x:v>Q-055</x:v>
      </x:c>
      <x:c r="C87" t="str">
        <x:v>arxiv v1.6 sensing/dark matter</x:v>
      </x:c>
      <x:c r="D87" t="str">
        <x:v>2507.12860</x:v>
      </x:c>
      <x:c r="E87" t="str">
        <x:v>v2</x:v>
      </x:c>
      <x:c r="F87" t="str">
        <x:v>Detecting dark matter using optically trapped Rydberg atom tweezer arrays</x:v>
      </x:c>
      <x:c r="G87" t="n">
        <x:v>2025</x:v>
      </x:c>
      <x:c r="H87" t="str">
        <x:v>2025-07-17</x:v>
      </x:c>
      <x:c r="I87" t="str">
        <x:v>2026-05-14</x:v>
      </x:c>
      <x:c r="J87" t="str">
        <x:v>hep-ph</x:v>
      </x:c>
      <x:c r="K87" t="str">
        <x:v>hep-ph; physics.atom-ph; quant-ph</x:v>
      </x:c>
      <x:c r="L87" t="str">
        <x:v>Rydberg atom tweezer arrays; dark matter detection; sensing; metrology</x:v>
      </x:c>
      <x:c r="M87" t="str">
        <x:v>include_as_adjacent</x:v>
      </x:c>
      <x:c r="N87" t="str">
        <x:v>Uses optically trapped Rydberg atom tweezer arrays for a dark-matter detection proposal; relevant sensing/metrology branch, not QC core.</x:v>
      </x:c>
      <x:c r="O87" t="str">
        <x:v>Amar Vutha</x:v>
      </x:c>
      <x:c r="P87" t="str">
        <x:v>Amar Vutha</x:v>
      </x:c>
      <x:c r="Q87" t="str">
        <x:v>yes</x:v>
      </x:c>
      <x:c r="R87" t="str">
        <x:v>University of Toronto / Department of Physics</x:v>
      </x:c>
      <x:c r="S87" t="str">
        <x:v>arxiv_abs + APS + official_UofT_page</x:v>
      </x:c>
      <x:c r="T87" t="str">
        <x:v>University of Toronto</x:v>
      </x:c>
      <x:c r="U87"/>
      <x:c r="V87" t="str">
        <x:v>Toronto</x:v>
      </x:c>
      <x:c r="W87" t="str">
        <x:v>Canada</x:v>
      </x:c>
      <x:c r="X87" t="n">
        <x:v>43.6629</x:v>
      </x:c>
      <x:c r="Y87" t="n">
        <x:v>-79.3957</x:v>
      </x:c>
      <x:c r="Z87" t="str">
        <x:v>E-073</x:v>
      </x:c>
      <x:c r="AA87" t="str">
        <x:v>promoted</x:v>
      </x:c>
      <x:c r="AB87"/>
      <x:c r="AC87" t="str">
        <x:v>https://arxiv.org/abs/2507.12860</x:v>
      </x:c>
      <x:c r="AD87" t="str">
        <x:v>https://arxiv.org/pdf/2507.12860</x:v>
      </x:c>
      <x:c r="AE87" t="str">
        <x:v>https://www.physics.utoronto.ca/~vutha/</x:v>
      </x:c>
      <x:c r="AF87" t="str">
        <x:v>C</x:v>
      </x:c>
      <x:c r="AG87" t="str">
        <x:v>Promoted in v1.7 as adjacent sensing/metrology node.</x:v>
      </x:c>
      <x:c r="AH87" s="51" t="b">
        <x:v>0</x:v>
      </x:c>
    </x:row>
    <x:row r="88">
      <x:c r="A88" t="str">
        <x:v>ARXIV-PI-0087</x:v>
      </x:c>
      <x:c r="B88" t="str">
        <x:v>Q-056</x:v>
      </x:c>
      <x:c r="C88" t="str">
        <x:v>arxiv v1.6 supersymmetry theory</x:v>
      </x:c>
      <x:c r="D88" t="str">
        <x:v>2405.21073</x:v>
      </x:c>
      <x:c r="E88" t="str">
        <x:v>v2</x:v>
      </x:c>
      <x:c r="F88" t="str">
        <x:v>Toward Quantum Analogue Simulation of Many-Body Supersymmetry with Rydberg Atom Arrays</x:v>
      </x:c>
      <x:c r="G88" t="n">
        <x:v>2024</x:v>
      </x:c>
      <x:c r="H88" t="str">
        <x:v>2024-05-31</x:v>
      </x:c>
      <x:c r="I88" t="str">
        <x:v>2025-07-18</x:v>
      </x:c>
      <x:c r="J88" t="str">
        <x:v>quant-ph</x:v>
      </x:c>
      <x:c r="K88" t="str">
        <x:v>quant-ph; cond-mat.quant-gas</x:v>
      </x:c>
      <x:c r="L88" t="str">
        <x:v>Rydberg atom arrays; tweezer arrays; supersymmetry; analogue simulation</x:v>
      </x:c>
      <x:c r="M88" t="str">
        <x:v>include</x:v>
      </x:c>
      <x:c r="N88" t="str">
        <x:v>Theory paper motivated by Rydberg atoms trapped in optical tweezer arrays and analog simulation of many-body supersymmetry.</x:v>
      </x:c>
      <x:c r="O88" t="str">
        <x:v>Vito W. Scarola</x:v>
      </x:c>
      <x:c r="P88" t="str">
        <x:v>Vito W. Scarola</x:v>
      </x:c>
      <x:c r="Q88" t="str">
        <x:v>yes</x:v>
      </x:c>
      <x:c r="R88" t="str">
        <x:v>Virginia Tech / Department of Physics</x:v>
      </x:c>
      <x:c r="S88" t="str">
        <x:v>arxiv_abs + author_group_page</x:v>
      </x:c>
      <x:c r="T88" t="str">
        <x:v>Virginia Tech</x:v>
      </x:c>
      <x:c r="U88"/>
      <x:c r="V88" t="str">
        <x:v>Blacksburg</x:v>
      </x:c>
      <x:c r="W88" t="str">
        <x:v>United States</x:v>
      </x:c>
      <x:c r="X88" t="n">
        <x:v>37.2296</x:v>
      </x:c>
      <x:c r="Y88" t="n">
        <x:v>-80.4139</x:v>
      </x:c>
      <x:c r="Z88" t="str">
        <x:v>E-072</x:v>
      </x:c>
      <x:c r="AA88" t="str">
        <x:v>promoted</x:v>
      </x:c>
      <x:c r="AB88"/>
      <x:c r="AC88" t="str">
        <x:v>https://arxiv.org/abs/2405.21073</x:v>
      </x:c>
      <x:c r="AD88" t="str">
        <x:v>https://arxiv.org/pdf/2405.21073</x:v>
      </x:c>
      <x:c r="AE88" t="str">
        <x:v>https://scarola.phys.vt.edu/</x:v>
      </x:c>
      <x:c r="AF88" t="str">
        <x:v>B</x:v>
      </x:c>
      <x:c r="AG88" t="str">
        <x:v>Promoted in v1.7 as theory/simulation node.</x:v>
      </x:c>
      <x:c r="AH88" s="51" t="b">
        <x:v>0</x:v>
      </x:c>
    </x:row>
    <x:row r="89">
      <x:c r="A89" t="str">
        <x:v>ARXIV-PI-0088</x:v>
      </x:c>
      <x:c r="B89" t="str">
        <x:v>Q-057</x:v>
      </x:c>
      <x:c r="C89" t="str">
        <x:v>arxiv v1.6 pulse optimization theory</x:v>
      </x:c>
      <x:c r="D89" t="str">
        <x:v>2507.19153</x:v>
      </x:c>
      <x:c r="E89" t="str">
        <x:v>v1</x:v>
      </x:c>
      <x:c r="F89" t="str">
        <x:v>Pulse-based optimization of quantum many-body states with Rydberg atoms in optical tweezer arrays</x:v>
      </x:c>
      <x:c r="G89" t="n">
        <x:v>2025</x:v>
      </x:c>
      <x:c r="H89" t="str">
        <x:v>2025-07-25</x:v>
      </x:c>
      <x:c r="I89"/>
      <x:c r="J89" t="str">
        <x:v>quant-ph</x:v>
      </x:c>
      <x:c r="K89" t="str">
        <x:v>quant-ph; cond-mat.quant-gas; cond-mat.stat-mech</x:v>
      </x:c>
      <x:c r="L89" t="str">
        <x:v>Rydberg atoms; optical tweezer arrays; pulse optimization; VQE</x:v>
      </x:c>
      <x:c r="M89" t="str">
        <x:v>include</x:v>
      </x:c>
      <x:c r="N89" t="str">
        <x:v>Direct phrase hit for Rydberg atoms in optical tweezer arrays; algorithm/control paper for analog and hybrid quantum algorithms.</x:v>
      </x:c>
      <x:c r="O89" t="str">
        <x:v>Seiji Yunoki</x:v>
      </x:c>
      <x:c r="P89" t="str">
        <x:v>Seiji Yunoki</x:v>
      </x:c>
      <x:c r="Q89" t="str">
        <x:v>yes</x:v>
      </x:c>
      <x:c r="R89" t="str">
        <x:v>RIKEN / Computational Quantum Matter Research Team</x:v>
      </x:c>
      <x:c r="S89" t="str">
        <x:v>arxiv_abs + official_RIKEN_page</x:v>
      </x:c>
      <x:c r="T89" t="str">
        <x:v>RIKEN</x:v>
      </x:c>
      <x:c r="U89"/>
      <x:c r="V89" t="str">
        <x:v>Wako</x:v>
      </x:c>
      <x:c r="W89" t="str">
        <x:v>Japan</x:v>
      </x:c>
      <x:c r="X89" t="n">
        <x:v>35.7813</x:v>
      </x:c>
      <x:c r="Y89" t="n">
        <x:v>139.6135</x:v>
      </x:c>
      <x:c r="Z89" t="str">
        <x:v>E-074</x:v>
      </x:c>
      <x:c r="AA89" t="str">
        <x:v>promoted</x:v>
      </x:c>
      <x:c r="AB89"/>
      <x:c r="AC89" t="str">
        <x:v>https://arxiv.org/abs/2507.19153</x:v>
      </x:c>
      <x:c r="AD89" t="str">
        <x:v>https://arxiv.org/pdf/2507.19153</x:v>
      </x:c>
      <x:c r="AE89" t="str">
        <x:v>https://cems.riken.jp/laboratory/cqmrt</x:v>
      </x:c>
      <x:c r="AF89" t="str">
        <x:v>B</x:v>
      </x:c>
      <x:c r="AG89" t="str">
        <x:v>Promoted in v1.7 as theory/control node.</x:v>
      </x:c>
      <x:c r="AH89" s="51" t="b">
        <x:v>0</x:v>
      </x:c>
    </x:row>
    <x:row r="90">
      <x:c r="A90" t="str">
        <x:v>ARXIV-PI-0089</x:v>
      </x:c>
      <x:c r="B90" t="str">
        <x:v>Q-058</x:v>
      </x:c>
      <x:c r="C90" t="str">
        <x:v>arxiv v1.6 magic trapping</x:v>
      </x:c>
      <x:c r="D90" t="str">
        <x:v>2410.20901</x:v>
      </x:c>
      <x:c r="E90" t="str">
        <x:v>v2</x:v>
      </x:c>
      <x:c r="F90" t="str">
        <x:v>Magic running- and standing-wave optical traps for Rydberg atoms</x:v>
      </x:c>
      <x:c r="G90" t="n">
        <x:v>2024</x:v>
      </x:c>
      <x:c r="H90" t="str">
        <x:v>2024-10-28</x:v>
      </x:c>
      <x:c r="I90" t="str">
        <x:v>2025-02-03</x:v>
      </x:c>
      <x:c r="J90" t="str">
        <x:v>physics.atom-ph</x:v>
      </x:c>
      <x:c r="K90" t="str">
        <x:v>physics.atom-ph; quant-ph</x:v>
      </x:c>
      <x:c r="L90" t="str">
        <x:v>Rydberg atoms; magic traps; trap geometry; optical tweezers; optical lattice</x:v>
      </x:c>
      <x:c r="M90" t="str">
        <x:v>include_as_adjacent</x:v>
      </x:c>
      <x:c r="N90" t="str">
        <x:v>Rydberg trapping/coherence paper whose analysis explicitly notes geometry dependence for optical lattices and tweezers; enabling physics branch.</x:v>
      </x:c>
      <x:c r="O90" t="str">
        <x:v>Sebastian Hofferberth</x:v>
      </x:c>
      <x:c r="P90" t="str">
        <x:v>Sebastian Hofferberth</x:v>
      </x:c>
      <x:c r="Q90" t="str">
        <x:v>yes</x:v>
      </x:c>
      <x:c r="R90" t="str">
        <x:v>University of Bonn / Institute of Applied Physics</x:v>
      </x:c>
      <x:c r="S90" t="str">
        <x:v>arxiv_abs + Bonn_NQO_page</x:v>
      </x:c>
      <x:c r="T90" t="str">
        <x:v>University of Bonn</x:v>
      </x:c>
      <x:c r="U90"/>
      <x:c r="V90" t="str">
        <x:v>Bonn</x:v>
      </x:c>
      <x:c r="W90" t="str">
        <x:v>Germany</x:v>
      </x:c>
      <x:c r="X90" t="n">
        <x:v>50.7374</x:v>
      </x:c>
      <x:c r="Y90" t="n">
        <x:v>7.0982</x:v>
      </x:c>
      <x:c r="Z90" t="str">
        <x:v>E-075</x:v>
      </x:c>
      <x:c r="AA90" t="str">
        <x:v>promoted</x:v>
      </x:c>
      <x:c r="AB90"/>
      <x:c r="AC90" t="str">
        <x:v>https://arxiv.org/abs/2410.20901</x:v>
      </x:c>
      <x:c r="AD90" t="str">
        <x:v>https://arxiv.org/pdf/2410.20901</x:v>
      </x:c>
      <x:c r="AE90" t="str">
        <x:v>https://www.iap.uni-bonn.de/nqo/en/nqonews/rqo-paper-published-in-pra</x:v>
      </x:c>
      <x:c r="AF90" t="str">
        <x:v>C</x:v>
      </x:c>
      <x:c r="AG90" t="str">
        <x:v>Promoted in v1.7 as adjacent/enabling physics node.</x:v>
      </x:c>
      <x:c r="AH90" s="51" t="b">
        <x:v>0</x:v>
      </x:c>
    </x:row>
    <x:row r="91">
      <x:c r="A91" t="str">
        <x:v>ARXIV-PI-0090</x:v>
      </x:c>
      <x:c r="B91" t="str">
        <x:v>Q-059</x:v>
      </x:c>
      <x:c r="C91" t="str">
        <x:v>arxiv v1.6 cavity network</x:v>
      </x:c>
      <x:c r="D91" t="str">
        <x:v>2407.09109</x:v>
      </x:c>
      <x:c r="E91" t="str">
        <x:v>v1</x:v>
      </x:c>
      <x:c r="F91" t="str">
        <x:v>A quantum-network register assembled with optical tweezers in an optical cavity</x:v>
      </x:c>
      <x:c r="G91" t="n">
        <x:v>2024</x:v>
      </x:c>
      <x:c r="H91" t="str">
        <x:v>2024-07-12</x:v>
      </x:c>
      <x:c r="I91"/>
      <x:c r="J91" t="str">
        <x:v>quant-ph</x:v>
      </x:c>
      <x:c r="K91" t="str">
        <x:v>quant-ph; physics.atom-ph</x:v>
      </x:c>
      <x:c r="L91" t="str">
        <x:v>optical tweezers; optical cavity; atom arrays; quantum network register</x:v>
      </x:c>
      <x:c r="M91" t="str">
        <x:v>include_as_adjacent</x:v>
      </x:c>
      <x:c r="N91" t="str">
        <x:v>Tweezer/cavity neutral-atom networking result; Rydberg not central but relevant for interconnect/interface layer.</x:v>
      </x:c>
      <x:c r="O91" t="str">
        <x:v>Gerhard Rempe</x:v>
      </x:c>
      <x:c r="P91" t="str">
        <x:v>Gerhard Rempe</x:v>
      </x:c>
      <x:c r="Q91" t="str">
        <x:v>yes</x:v>
      </x:c>
      <x:c r="R91" t="str">
        <x:v>Max Planck Institute of Quantum Optics</x:v>
      </x:c>
      <x:c r="S91" t="str">
        <x:v>arxiv_abs</x:v>
      </x:c>
      <x:c r="T91" t="str">
        <x:v>Max Planck Institute of Quantum Optics</x:v>
      </x:c>
      <x:c r="U91"/>
      <x:c r="V91" t="str">
        <x:v>Garching</x:v>
      </x:c>
      <x:c r="W91" t="str">
        <x:v>Germany</x:v>
      </x:c>
      <x:c r="X91" t="n">
        <x:v>48.2489</x:v>
      </x:c>
      <x:c r="Y91" t="n">
        <x:v>11.651</x:v>
      </x:c>
      <x:c r="Z91"/>
      <x:c r="AA91" t="str">
        <x:v>paper_layer_only</x:v>
      </x:c>
      <x:c r="AB91"/>
      <x:c r="AC91" t="str">
        <x:v>https://arxiv.org/abs/2407.09109</x:v>
      </x:c>
      <x:c r="AD91" t="str">
        <x:v>https://arxiv.org/pdf/2407.09109</x:v>
      </x:c>
      <x:c r="AE91"/>
      <x:c r="AF91" t="str">
        <x:v>C</x:v>
      </x:c>
      <x:c r="AG91" t="str">
        <x:v>Kept paper-layer only; no Rydberg core in this paper.</x:v>
      </x:c>
      <x:c r="AH91" s="51" t="b">
        <x:v>0</x:v>
      </x:c>
    </x:row>
    <x:row r="92">
      <x:c r="A92" t="str">
        <x:v>ARXIV-PI-0091</x:v>
      </x:c>
      <x:c r="B92" t="str">
        <x:v>Q-060</x:v>
      </x:c>
      <x:c r="C92" t="str">
        <x:v>arxiv v1.6 Rydberg array sensing</x:v>
      </x:c>
      <x:c r="D92" t="str">
        <x:v>2512.05413</x:v>
      </x:c>
      <x:c r="E92" t="str">
        <x:v>v1</x:v>
      </x:c>
      <x:c r="F92" t="str">
        <x:v>Microwave electrometry with quantum-limited resolutions in a Rydberg atom array</x:v>
      </x:c>
      <x:c r="G92" t="n">
        <x:v>2025</x:v>
      </x:c>
      <x:c r="H92" t="str">
        <x:v>2025-12-05</x:v>
      </x:c>
      <x:c r="I92"/>
      <x:c r="J92" t="str">
        <x:v>physics.atom-ph</x:v>
      </x:c>
      <x:c r="K92" t="str">
        <x:v>physics.atom-ph; quant-ph</x:v>
      </x:c>
      <x:c r="L92" t="str">
        <x:v>Rydberg atom array; optical tweezer array; microwave electrometry; sensing</x:v>
      </x:c>
      <x:c r="M92" t="str">
        <x:v>include_as_adjacent</x:v>
      </x:c>
      <x:c r="N92" t="str">
        <x:v>Experimental sensing paper using individual Rydberg atoms in an optical tweezer array; strong for sensing branch but not QC core.</x:v>
      </x:c>
      <x:c r="O92" t="str">
        <x:v>Lin Li</x:v>
      </x:c>
      <x:c r="P92" t="str">
        <x:v>Lin Li</x:v>
      </x:c>
      <x:c r="Q92" t="str">
        <x:v>yes</x:v>
      </x:c>
      <x:c r="R92" t="str">
        <x:v>Huazhong University of Science and Technology</x:v>
      </x:c>
      <x:c r="S92" t="str">
        <x:v>matched_existing_database</x:v>
      </x:c>
      <x:c r="T92" t="str">
        <x:v>Huazhong University of Science and Technology</x:v>
      </x:c>
      <x:c r="U92"/>
      <x:c r="V92" t="str">
        <x:v>Wuhan</x:v>
      </x:c>
      <x:c r="W92" t="str">
        <x:v>China</x:v>
      </x:c>
      <x:c r="X92" t="n">
        <x:v>30.5928</x:v>
      </x:c>
      <x:c r="Y92" t="n">
        <x:v>114.3055</x:v>
      </x:c>
      <x:c r="Z92" t="str">
        <x:v>E-058</x:v>
      </x:c>
      <x:c r="AA92" t="str">
        <x:v>matched_existing</x:v>
      </x:c>
      <x:c r="AB92"/>
      <x:c r="AC92" t="str">
        <x:v>https://arxiv.org/abs/2512.05413</x:v>
      </x:c>
      <x:c r="AD92" t="str">
        <x:v>https://arxiv.org/pdf/2512.05413</x:v>
      </x:c>
      <x:c r="AE92" t="str">
        <x:v>https://www.linlilab.cn/</x:v>
      </x:c>
      <x:c r="AF92" t="str">
        <x:v>B</x:v>
      </x:c>
      <x:c r="AG92" t="str">
        <x:v>Matched to existing Lin Li row E-058; no new DB row.</x:v>
      </x:c>
      <x:c r="AH92" s="51" t="b">
        <x:v>0</x:v>
      </x:c>
    </x:row>
    <x:row r="93">
      <x:c r="A93" t="str">
        <x:v>ARXIV-PI-0092</x:v>
      </x:c>
      <x:c r="B93" t="str">
        <x:v>Q-061</x:v>
      </x:c>
      <x:c r="C93" t="str">
        <x:v>arxiv v1.6 connectivity theory</x:v>
      </x:c>
      <x:c r="D93" t="str">
        <x:v>2504.05087</x:v>
      </x:c>
      <x:c r="E93" t="str">
        <x:v>v3</x:v>
      </x:c>
      <x:c r="F93" t="str">
        <x:v>All-to-all connectivity of Rydberg-atom-based quantum processors with messenger qubits</x:v>
      </x:c>
      <x:c r="G93" t="n">
        <x:v>2025</x:v>
      </x:c>
      <x:c r="H93" t="str">
        <x:v>2025-04-07</x:v>
      </x:c>
      <x:c r="I93" t="str">
        <x:v>2025-11-06</x:v>
      </x:c>
      <x:c r="J93" t="str">
        <x:v>quant-ph</x:v>
      </x:c>
      <x:c r="K93" t="str">
        <x:v>quant-ph</x:v>
      </x:c>
      <x:c r="L93" t="str">
        <x:v>Rydberg atom arrays; quantum processors; messenger qubits; connectivity</x:v>
      </x:c>
      <x:c r="M93" t="str">
        <x:v>include</x:v>
      </x:c>
      <x:c r="N93" t="str">
        <x:v>Theory/architecture paper for Rydberg-atom processors using moving messenger qubits; relevant architecture layer.</x:v>
      </x:c>
      <x:c r="O93" t="str">
        <x:v>Oleg V. Lychkovskiy</x:v>
      </x:c>
      <x:c r="P93" t="str">
        <x:v>Oleg V. Lychkovskiy</x:v>
      </x:c>
      <x:c r="Q93" t="str">
        <x:v>yes</x:v>
      </x:c>
      <x:c r="R93" t="str">
        <x:v>Skolkovo Institute of Science and Technology / Russian Quantum Center</x:v>
      </x:c>
      <x:c r="S93" t="str">
        <x:v>arxiv_html + APS</x:v>
      </x:c>
      <x:c r="T93" t="str">
        <x:v>Skolkovo Institute of Science and Technology / Russian Quantum Center</x:v>
      </x:c>
      <x:c r="U93"/>
      <x:c r="V93" t="str">
        <x:v>Moscow / Skolkovo</x:v>
      </x:c>
      <x:c r="W93" t="str">
        <x:v>Russia</x:v>
      </x:c>
      <x:c r="X93" t="n">
        <x:v>55.7558</x:v>
      </x:c>
      <x:c r="Y93" t="n">
        <x:v>37.6173</x:v>
      </x:c>
      <x:c r="Z93" t="str">
        <x:v>E-077</x:v>
      </x:c>
      <x:c r="AA93" t="str">
        <x:v>promoted_needs_review</x:v>
      </x:c>
      <x:c r="AB93"/>
      <x:c r="AC93" t="str">
        <x:v>https://arxiv.org/abs/2504.05087</x:v>
      </x:c>
      <x:c r="AD93" t="str">
        <x:v>https://arxiv.org/pdf/2504.05087</x:v>
      </x:c>
      <x:c r="AE93" t="str">
        <x:v>https://arxiv.org/html/2504.05087v3</x:v>
      </x:c>
      <x:c r="AF93" t="str">
        <x:v>B/C</x:v>
      </x:c>
      <x:c r="AG93" t="str">
        <x:v>Promoted in v1.7 as architecture theory node but still needs exact institution/node QC.</x:v>
      </x:c>
      <x:c r="AH93" s="51" t="b">
        <x:v>1</x:v>
      </x:c>
    </x:row>
    <x:row r="94">
      <x:c r="A94" t="str">
        <x:v>ARXIV-PI-0093</x:v>
      </x:c>
      <x:c r="B94" t="str">
        <x:v>Q-062</x:v>
      </x:c>
      <x:c r="C94" t="str">
        <x:v>arxiv v1.6 localization/topology theory</x:v>
      </x:c>
      <x:c r="D94" t="str">
        <x:v>2505.07720</x:v>
      </x:c>
      <x:c r="E94" t="str">
        <x:v>v3</x:v>
      </x:c>
      <x:c r="F94" t="str">
        <x:v>Interplay of localization and topology in Rydberg tweezer arrays</x:v>
      </x:c>
      <x:c r="G94" t="n">
        <x:v>2025</x:v>
      </x:c>
      <x:c r="H94" t="str">
        <x:v>2025-05-12</x:v>
      </x:c>
      <x:c r="I94" t="str">
        <x:v>2026-02-04</x:v>
      </x:c>
      <x:c r="J94" t="str">
        <x:v>cond-mat.dis-nn</x:v>
      </x:c>
      <x:c r="K94" t="str">
        <x:v>cond-mat.dis-nn; quant-ph</x:v>
      </x:c>
      <x:c r="L94" t="str">
        <x:v>Rydberg tweezer arrays; localization; topology; positional disorder</x:v>
      </x:c>
      <x:c r="M94" t="str">
        <x:v>include</x:v>
      </x:c>
      <x:c r="N94" t="str">
        <x:v>Direct Rydberg tweezer array theory paper on disorder/dimerization/topology; relevant theory branch.</x:v>
      </x:c>
      <x:c r="O94" t="str">
        <x:v>Jakub Zakrzewski</x:v>
      </x:c>
      <x:c r="P94" t="str">
        <x:v>Jakub Zakrzewski</x:v>
      </x:c>
      <x:c r="Q94" t="str">
        <x:v>yes</x:v>
      </x:c>
      <x:c r="R94" t="str">
        <x:v>Jagiellonian University in Kraków / Mark Kac Complex Systems Research Center</x:v>
      </x:c>
      <x:c r="S94" t="str">
        <x:v>arxiv_pdf</x:v>
      </x:c>
      <x:c r="T94" t="str">
        <x:v>Jagiellonian University in Kraków</x:v>
      </x:c>
      <x:c r="U94"/>
      <x:c r="V94" t="str">
        <x:v>Kraków</x:v>
      </x:c>
      <x:c r="W94" t="str">
        <x:v>Poland</x:v>
      </x:c>
      <x:c r="X94" t="n">
        <x:v>50.0647</x:v>
      </x:c>
      <x:c r="Y94" t="n">
        <x:v>19.945</x:v>
      </x:c>
      <x:c r="Z94" t="str">
        <x:v>E-076</x:v>
      </x:c>
      <x:c r="AA94" t="str">
        <x:v>promoted</x:v>
      </x:c>
      <x:c r="AB94"/>
      <x:c r="AC94" t="str">
        <x:v>https://arxiv.org/abs/2505.07720</x:v>
      </x:c>
      <x:c r="AD94" t="str">
        <x:v>https://arxiv.org/pdf/2505.07720</x:v>
      </x:c>
      <x:c r="AE94"/>
      <x:c r="AF94" t="str">
        <x:v>B</x:v>
      </x:c>
      <x:c r="AG94" t="str">
        <x:v>Promoted in v1.7 as Rydberg-tweezer localization/topology theory node.</x:v>
      </x:c>
      <x:c r="AH94" s="51" t="b">
        <x:v>0</x:v>
      </x:c>
    </x:row>
    <x:row r="95">
      <x:c r="A95" t="str">
        <x:v>ARXIV-PI-0094</x:v>
      </x:c>
      <x:c r="B95" t="str">
        <x:v>Q-063</x:v>
      </x:c>
      <x:c r="C95" t="str">
        <x:v>arxiv v1.6 molecule adjacent</x:v>
      </x:c>
      <x:c r="D95" t="str">
        <x:v>2401.13593</x:v>
      </x:c>
      <x:c r="E95" t="str">
        <x:v>v1</x:v>
      </x:c>
      <x:c r="F95" t="str">
        <x:v>Enhanced quantum control of individual ultracold molecules using optical tweezer arrays</x:v>
      </x:c>
      <x:c r="G95" t="n">
        <x:v>2024</x:v>
      </x:c>
      <x:c r="H95" t="str">
        <x:v>2024-01-24</x:v>
      </x:c>
      <x:c r="I95"/>
      <x:c r="J95" t="str">
        <x:v>physics.atom-ph</x:v>
      </x:c>
      <x:c r="K95" t="str">
        <x:v>physics.atom-ph; quant-ph</x:v>
      </x:c>
      <x:c r="L95" t="str">
        <x:v>optical tweezer arrays; ultracold molecules; RbCs; adjacent to Rydberg molecules</x:v>
      </x:c>
      <x:c r="M95" t="str">
        <x:v>include_as_adjacent</x:v>
      </x:c>
      <x:c r="N95" t="str">
        <x:v>Molecule tweezer array paper; not Rydberg-core, but useful as adjacent control/readout/molecule branch for boundary control.</x:v>
      </x:c>
      <x:c r="O95" t="str">
        <x:v>Simon L. Cornish</x:v>
      </x:c>
      <x:c r="P95" t="str">
        <x:v>Simon L. Cornish</x:v>
      </x:c>
      <x:c r="Q95" t="str">
        <x:v>yes</x:v>
      </x:c>
      <x:c r="R95" t="str">
        <x:v>Durham University</x:v>
      </x:c>
      <x:c r="S95" t="str">
        <x:v>arxiv_abs + existing candidate context</x:v>
      </x:c>
      <x:c r="T95" t="str">
        <x:v>Durham University</x:v>
      </x:c>
      <x:c r="U95"/>
      <x:c r="V95" t="str">
        <x:v>Durham</x:v>
      </x:c>
      <x:c r="W95" t="str">
        <x:v>United Kingdom</x:v>
      </x:c>
      <x:c r="X95" t="n">
        <x:v>54.7753</x:v>
      </x:c>
      <x:c r="Y95" t="n">
        <x:v>-1.5849</x:v>
      </x:c>
      <x:c r="Z95"/>
      <x:c r="AA95" t="str">
        <x:v>new_candidate</x:v>
      </x:c>
      <x:c r="AB95"/>
      <x:c r="AC95" t="str">
        <x:v>https://arxiv.org/abs/2401.13593</x:v>
      </x:c>
      <x:c r="AD95" t="str">
        <x:v>https://arxiv.org/pdf/2401.13593</x:v>
      </x:c>
      <x:c r="AE95"/>
      <x:c r="AF95" t="str">
        <x:v>C</x:v>
      </x:c>
      <x:c r="AG95" t="str">
        <x:v>Boundary case: keep in paper layer but do not promote unless molecule/Rydberg-molecule scope is explicitly expanded.</x:v>
      </x:c>
      <x:c r="AH95" s="51" t="b">
        <x:v>0</x:v>
      </x:c>
    </x:row>
    <x:row r="96">
      <x:c r="A96" s="14" t="str">
        <x:v>ARXIV-PI-0095</x:v>
      </x:c>
      <x:c r="B96" s="14" t="str">
        <x:v>Q-068</x:v>
      </x:c>
      <x:c r="C96" s="14" t="str">
        <x:v>v1.8 grid / cavity interface</x:v>
      </x:c>
      <x:c r="D96" s="14" t="str">
        <x:v>2602.12152</x:v>
      </x:c>
      <x:c r="E96" s="14" t="str">
        <x:v>v1</x:v>
      </x:c>
      <x:c r="F96" s="14" t="str">
        <x:v>Realization of a cavity-coupled Rydberg array</x:v>
      </x:c>
      <x:c r="G96" s="14" t="n">
        <x:v>2026</x:v>
      </x:c>
      <x:c r="H96" s="14" t="str">
        <x:v>2026-02</x:v>
      </x:c>
      <x:c r="I96" s="14"/>
      <x:c r="J96" s="14" t="str">
        <x:v>quant-ph</x:v>
      </x:c>
      <x:c r="K96" s="14" t="str">
        <x:v>quant-ph; physics.atom-ph</x:v>
      </x:c>
      <x:c r="L96" s="14" t="str">
        <x:v>cavity-coupled Rydberg array; optical tweezer array; Rydberg states</x:v>
      </x:c>
      <x:c r="M96" s="14" t="str">
        <x:v>include</x:v>
      </x:c>
      <x:c r="N96" s="14" t="str">
        <x:v>Direct experimental combination of optical tweezer arrays, optical cavity coupling and Rydberg excitation.</x:v>
      </x:c>
      <x:c r="O96" s="14" t="str">
        <x:v>Johannes Zeiher</x:v>
      </x:c>
      <x:c r="P96" s="14" t="str">
        <x:v>Johannes Zeiher</x:v>
      </x:c>
      <x:c r="Q96" s="14" t="str">
        <x:v>yes</x:v>
      </x:c>
      <x:c r="R96" s="14" t="str">
        <x:v>MPQ / LMU Munich</x:v>
      </x:c>
      <x:c r="S96" s="14" t="str">
        <x:v>arxiv_abs; existing DB</x:v>
      </x:c>
      <x:c r="T96" s="14" t="str">
        <x:v>Max Planck Institute of Quantum Optics / LMU Munich</x:v>
      </x:c>
      <x:c r="U96" s="14"/>
      <x:c r="V96" s="14" t="str">
        <x:v>Garching / Munich</x:v>
      </x:c>
      <x:c r="W96" s="14" t="str">
        <x:v>Germany</x:v>
      </x:c>
      <x:c r="X96" s="14" t="n">
        <x:v>48.2642</x:v>
      </x:c>
      <x:c r="Y96" s="14" t="n">
        <x:v>11.6715</x:v>
      </x:c>
      <x:c r="Z96" s="14" t="str">
        <x:v>E-006</x:v>
      </x:c>
      <x:c r="AA96" s="14" t="str">
        <x:v>matched_existing</x:v>
      </x:c>
      <x:c r="AB96" s="14"/>
      <x:c r="AC96" s="14" t="str">
        <x:v>https://arxiv.org/abs/2602.12152</x:v>
      </x:c>
      <x:c r="AD96" s="14" t="str">
        <x:v>https://arxiv.org/pdf/2602.12152</x:v>
      </x:c>
      <x:c r="AE96" s="14"/>
      <x:c r="AF96" s="14" t="str">
        <x:v>A/B</x:v>
      </x:c>
      <x:c r="AG96" s="14" t="str">
        <x:v>Matched to existing Zeiher/MPQ interface node; strengthens cavity/network branch.</x:v>
      </x:c>
      <x:c r="AH96" s="53" t="b">
        <x:v>0</x:v>
      </x:c>
    </x:row>
    <x:row r="97">
      <x:c r="A97" s="14" t="str">
        <x:v>ARXIV-PI-0096</x:v>
      </x:c>
      <x:c r="B97" s="14" t="str">
        <x:v>Q-067</x:v>
      </x:c>
      <x:c r="C97" s="14" t="str">
        <x:v>v1.8 grid / QEC multiqubit gates</x:v>
      </x:c>
      <x:c r="D97" s="14" t="str">
        <x:v>2512.00843</x:v>
      </x:c>
      <x:c r="E97" s="14" t="str">
        <x:v>v2</x:v>
      </x:c>
      <x:c r="F97" s="14" t="str">
        <x:v>Multiqubit Rydberg Gates for Quantum Error Correction</x:v>
      </x:c>
      <x:c r="G97" s="14" t="n">
        <x:v>2025</x:v>
      </x:c>
      <x:c r="H97" s="14" t="str">
        <x:v>2025-11-30</x:v>
      </x:c>
      <x:c r="I97" s="14" t="str">
        <x:v>2026-05-04</x:v>
      </x:c>
      <x:c r="J97" s="14" t="str">
        <x:v>quant-ph</x:v>
      </x:c>
      <x:c r="K97" s="14" t="str">
        <x:v>quant-ph</x:v>
      </x:c>
      <x:c r="L97" s="14" t="str">
        <x:v>multiqubit Rydberg gates; QEC; neutral atoms; global pulses</x:v>
      </x:c>
      <x:c r="M97" s="14" t="str">
        <x:v>include</x:v>
      </x:c>
      <x:c r="N97" s="14" t="str">
        <x:v>Rydberg-gate QEC theory/software paper; last author likely senior but affiliation needs external validation.</x:v>
      </x:c>
      <x:c r="O97" s="14" t="str">
        <x:v>Markus Müller</x:v>
      </x:c>
      <x:c r="P97" s="14" t="str">
        <x:v>Markus Müller</x:v>
      </x:c>
      <x:c r="Q97" s="14" t="str">
        <x:v>yes</x:v>
      </x:c>
      <x:c r="R97" s="14" t="str">
        <x:v>affiliation pending</x:v>
      </x:c>
      <x:c r="S97" s="14" t="str">
        <x:v>arxiv_abs only</x:v>
      </x:c>
      <x:c r="T97" s="14" t="str">
        <x:v>institution pending</x:v>
      </x:c>
      <x:c r="U97" s="14"/>
      <x:c r="V97" s="14"/>
      <x:c r="W97" s="14"/>
      <x:c r="X97" s="14"/>
      <x:c r="Y97" s="14"/>
      <x:c r="Z97" s="14"/>
      <x:c r="AA97" s="14" t="str">
        <x:v>new_candidate</x:v>
      </x:c>
      <x:c r="AB97" s="14"/>
      <x:c r="AC97" s="14" t="str">
        <x:v>https://arxiv.org/abs/2512.00843</x:v>
      </x:c>
      <x:c r="AD97" s="14" t="str">
        <x:v>https://arxiv.org/pdf/2512.00843</x:v>
      </x:c>
      <x:c r="AE97" s="14"/>
      <x:c r="AF97" s="14" t="str">
        <x:v>B</x:v>
      </x:c>
      <x:c r="AG97" s="14" t="str">
        <x:v>Candidate theory/QEC node; do not promote until affiliation and relation to Stuttgart/Aachen/Jülich ecosystem is cleaned.</x:v>
      </x:c>
      <x:c r="AH97" s="53" t="b">
        <x:v>1</x:v>
      </x:c>
    </x:row>
    <x:row r="98">
      <x:c r="A98" s="14" t="str">
        <x:v>ARXIV-PI-0097</x:v>
      </x:c>
      <x:c r="B98" s="14" t="str">
        <x:v>Q-065</x:v>
      </x:c>
      <x:c r="C98" s="14" t="str">
        <x:v>v1.8 grid / spin-phonon theory</x:v>
      </x:c>
      <x:c r="D98" s="14" t="str">
        <x:v>2507.16751</x:v>
      </x:c>
      <x:c r="E98" s="14" t="str">
        <x:v>v1</x:v>
      </x:c>
      <x:c r="F98" s="14" t="str">
        <x:v>Many-Body Physics from Spin-Phonon Coupling in Rydberg Atom Arrays</x:v>
      </x:c>
      <x:c r="G98" s="14" t="n">
        <x:v>2025</x:v>
      </x:c>
      <x:c r="H98" s="14" t="str">
        <x:v>2025-07-22</x:v>
      </x:c>
      <x:c r="I98" s="14"/>
      <x:c r="J98" s="14" t="str">
        <x:v>cond-mat.quant-gas</x:v>
      </x:c>
      <x:c r="K98" s="14" t="str">
        <x:v>cond-mat.quant-gas; quant-ph</x:v>
      </x:c>
      <x:c r="L98" s="14" t="str">
        <x:v>Rydberg atom arrays; optical tweezers; spin-phonon coupling</x:v>
      </x:c>
      <x:c r="M98" s="14" t="str">
        <x:v>include</x:v>
      </x:c>
      <x:c r="N98" s="14" t="str">
        <x:v>Direct theory paper on vibrations in optical tweezers and spin-phonon coupling in Rydberg atom arrays.</x:v>
      </x:c>
      <x:c r="O98" s="14" t="str">
        <x:v>Pengfei Zhang</x:v>
      </x:c>
      <x:c r="P98" s="14" t="str">
        <x:v>Pengfei Zhang</x:v>
      </x:c>
      <x:c r="Q98" s="14" t="str">
        <x:v>yes</x:v>
      </x:c>
      <x:c r="R98" s="14" t="str">
        <x:v>Fudan University</x:v>
      </x:c>
      <x:c r="S98" s="14" t="str">
        <x:v>arxiv_abs; existing DB</x:v>
      </x:c>
      <x:c r="T98" s="14" t="str">
        <x:v>Fudan University</x:v>
      </x:c>
      <x:c r="U98" s="14"/>
      <x:c r="V98" s="14" t="str">
        <x:v>Shanghai</x:v>
      </x:c>
      <x:c r="W98" s="14" t="str">
        <x:v>China</x:v>
      </x:c>
      <x:c r="X98" s="14" t="n">
        <x:v>31.2304</x:v>
      </x:c>
      <x:c r="Y98" s="14" t="n">
        <x:v>121.4737</x:v>
      </x:c>
      <x:c r="Z98" s="14" t="str">
        <x:v>E-049</x:v>
      </x:c>
      <x:c r="AA98" s="14" t="str">
        <x:v>matched_existing</x:v>
      </x:c>
      <x:c r="AB98" s="14"/>
      <x:c r="AC98" s="14" t="str">
        <x:v>https://arxiv.org/abs/2507.16751</x:v>
      </x:c>
      <x:c r="AD98" s="14" t="str">
        <x:v>https://arxiv.org/pdf/2507.16751</x:v>
      </x:c>
      <x:c r="AE98" s="14"/>
      <x:c r="AF98" s="14" t="str">
        <x:v>B</x:v>
      </x:c>
      <x:c r="AG98" s="14" t="str">
        <x:v>Duplicate/matched signal for existing Pengfei Zhang node; useful for saturation statistics.</x:v>
      </x:c>
      <x:c r="AH98" s="53" t="b">
        <x:v>0</x:v>
      </x:c>
    </x:row>
    <x:row r="99">
      <x:c r="A99" s="14" t="str">
        <x:v>ARXIV-PI-0098</x:v>
      </x:c>
      <x:c r="B99" s="14" t="str">
        <x:v>Q-069</x:v>
      </x:c>
      <x:c r="C99" s="14" t="str">
        <x:v>v1.8 grid / Hamiltonian learning</x:v>
      </x:c>
      <x:c r="D99" s="14" t="str">
        <x:v>2412.12019</x:v>
      </x:c>
      <x:c r="E99" s="14" t="str">
        <x:v>v2</x:v>
      </x:c>
      <x:c r="F99" s="14" t="str">
        <x:v>Learning interactions between Rydberg atoms</x:v>
      </x:c>
      <x:c r="G99" s="14" t="n">
        <x:v>2024</x:v>
      </x:c>
      <x:c r="H99" s="14" t="str">
        <x:v>2024-12-16</x:v>
      </x:c>
      <x:c r="I99" s="14" t="str">
        <x:v>2025-08-08</x:v>
      </x:c>
      <x:c r="J99" s="14" t="str">
        <x:v>quant-ph</x:v>
      </x:c>
      <x:c r="K99" s="14" t="str">
        <x:v>quant-ph</x:v>
      </x:c>
      <x:c r="L99" s="14" t="str">
        <x:v>Rydberg-atom arrays; optical tweezers; Hamiltonian learning; GNN</x:v>
      </x:c>
      <x:c r="M99" s="14" t="str">
        <x:v>include</x:v>
      </x:c>
      <x:c r="N99" s="14" t="str">
        <x:v>Rydberg-array calibration/learning paper; explicit optical-tweezer position uncertainty; last author is theory senior.</x:v>
      </x:c>
      <x:c r="O99" s="14" t="str">
        <x:v>Antoine Georges</x:v>
      </x:c>
      <x:c r="P99" s="14" t="str">
        <x:v>Antoine Georges</x:v>
      </x:c>
      <x:c r="Q99" s="14" t="str">
        <x:v>yes</x:v>
      </x:c>
      <x:c r="R99" s="14" t="str">
        <x:v>affiliation pending</x:v>
      </x:c>
      <x:c r="S99" s="14" t="str">
        <x:v>arxiv_abs only</x:v>
      </x:c>
      <x:c r="T99" s="14" t="str">
        <x:v>institution pending</x:v>
      </x:c>
      <x:c r="U99" s="14"/>
      <x:c r="V99" s="14"/>
      <x:c r="W99" s="14"/>
      <x:c r="X99" s="14"/>
      <x:c r="Y99" s="14"/>
      <x:c r="Z99" s="14"/>
      <x:c r="AA99" s="14" t="str">
        <x:v>new_candidate</x:v>
      </x:c>
      <x:c r="AB99" s="14"/>
      <x:c r="AC99" s="14" t="str">
        <x:v>https://arxiv.org/abs/2412.12019</x:v>
      </x:c>
      <x:c r="AD99" s="14" t="str">
        <x:v>https://arxiv.org/pdf/2412.12019</x:v>
      </x:c>
      <x:c r="AE99" s="14"/>
      <x:c r="AF99" s="14" t="str">
        <x:v>B</x:v>
      </x:c>
      <x:c r="AG99" s="14" t="str">
        <x:v>Strong theory/calibration candidate; affiliation likely needs PDF/OpenAlex because multi-institution author list.</x:v>
      </x:c>
      <x:c r="AH99" s="53" t="b">
        <x:v>1</x:v>
      </x:c>
    </x:row>
    <x:row r="100">
      <x:c r="A100" s="14" t="str">
        <x:v>ARXIV-PI-0099</x:v>
      </x:c>
      <x:c r="B100" s="14" t="str">
        <x:v>Q-070</x:v>
      </x:c>
      <x:c r="C100" s="14" t="str">
        <x:v>v1.8 grid / hologram reconfiguration</x:v>
      </x:c>
      <x:c r="D100" s="14" t="str">
        <x:v>2604.04600</x:v>
      </x:c>
      <x:c r="E100" s="14" t="str">
        <x:v>v1</x:v>
      </x:c>
      <x:c r="F100" s="14" t="str">
        <x:v>Phase-Stable Hologram Updates for Large-Scale Neutral-Atom Array Reconfiguration</x:v>
      </x:c>
      <x:c r="G100" s="14" t="n">
        <x:v>2026</x:v>
      </x:c>
      <x:c r="H100" s="14" t="str">
        <x:v>2026-04-06</x:v>
      </x:c>
      <x:c r="I100" s="14"/>
      <x:c r="J100" s="14" t="str">
        <x:v>quant-ph</x:v>
      </x:c>
      <x:c r="K100" s="14" t="str">
        <x:v>quant-ph; physics.atom-ph</x:v>
      </x:c>
      <x:c r="L100" s="14" t="str">
        <x:v>Rydberg atom arrays; holographic optical tweezers; reconfiguration</x:v>
      </x:c>
      <x:c r="M100" s="14" t="str">
        <x:v>include</x:v>
      </x:c>
      <x:c r="N100" s="14" t="str">
        <x:v>Technical control paper for assembling/reconfiguring large-scale Rydberg atom arrays with dynamic holographic tweezers.</x:v>
      </x:c>
      <x:c r="O100" s="14" t="str">
        <x:v>Jin-Guo Liu</x:v>
      </x:c>
      <x:c r="P100" s="14" t="str">
        <x:v>Jin-Guo Liu</x:v>
      </x:c>
      <x:c r="Q100" s="14" t="str">
        <x:v>yes</x:v>
      </x:c>
      <x:c r="R100" s="14" t="str">
        <x:v>HKUST(GZ) / Quantum Bay</x:v>
      </x:c>
      <x:c r="S100" s="14" t="str">
        <x:v>arxiv_abs; existing DB</x:v>
      </x:c>
      <x:c r="T100" s="14" t="str">
        <x:v>Hong Kong University of Science and Technology (Guangzhou)</x:v>
      </x:c>
      <x:c r="U100" s="14"/>
      <x:c r="V100" s="14" t="str">
        <x:v>Guangzhou</x:v>
      </x:c>
      <x:c r="W100" s="14" t="str">
        <x:v>China</x:v>
      </x:c>
      <x:c r="X100" s="14" t="n">
        <x:v>23.1291</x:v>
      </x:c>
      <x:c r="Y100" s="14" t="n">
        <x:v>113.2644</x:v>
      </x:c>
      <x:c r="Z100" s="14" t="str">
        <x:v>E-048</x:v>
      </x:c>
      <x:c r="AA100" s="14" t="str">
        <x:v>matched_existing</x:v>
      </x:c>
      <x:c r="AB100" s="14"/>
      <x:c r="AC100" s="14" t="str">
        <x:v>https://arxiv.org/abs/2604.04600</x:v>
      </x:c>
      <x:c r="AD100" s="14" t="str">
        <x:v>https://arxiv.org/pdf/2604.04600</x:v>
      </x:c>
      <x:c r="AE100" s="14"/>
      <x:c r="AF100" s="14" t="str">
        <x:v>B</x:v>
      </x:c>
      <x:c r="AG100" s="14" t="str">
        <x:v>Matched to existing Jin-Guo Liu algorithms/QEC/control node; adds technical reconfiguration evidence.</x:v>
      </x:c>
      <x:c r="AH100" s="53" t="b">
        <x:v>0</x:v>
      </x:c>
    </x:row>
    <x:row r="101">
      <x:c r="A101" s="14" t="str">
        <x:v>ARXIV-PI-0100</x:v>
      </x:c>
      <x:c r="B101" s="14" t="str">
        <x:v>Q-071</x:v>
      </x:c>
      <x:c r="C101" s="14" t="str">
        <x:v>v1.8 grid / neutral atom QEC theory</x:v>
      </x:c>
      <x:c r="D101" s="14" t="str">
        <x:v>2409.04324</x:v>
      </x:c>
      <x:c r="E101" s="14" t="str">
        <x:v>v2</x:v>
      </x:c>
      <x:c r="F101" s="14" t="str">
        <x:v>Geometrical Approach to Logical Qubit Fidelities of Neutral Atom CSS Codes</x:v>
      </x:c>
      <x:c r="G101" s="14" t="n">
        <x:v>2024</x:v>
      </x:c>
      <x:c r="H101" s="14" t="str">
        <x:v>2024-09-06</x:v>
      </x:c>
      <x:c r="I101" s="14" t="str">
        <x:v>2025-01-31</x:v>
      </x:c>
      <x:c r="J101" s="14" t="str">
        <x:v>quant-ph</x:v>
      </x:c>
      <x:c r="K101" s="14" t="str">
        <x:v>quant-ph; cond-mat.stat-mech</x:v>
      </x:c>
      <x:c r="L101" s="14" t="str">
        <x:v>neutral atom CSS codes; finite Rydberg lifetime; leakage; atom loss</x:v>
      </x:c>
      <x:c r="M101" s="14" t="str">
        <x:v>include</x:v>
      </x:c>
      <x:c r="N101" s="14" t="str">
        <x:v>QEC theory paper specific to neutral-atom architectures and Rydberg-state decay/error channels.</x:v>
      </x:c>
      <x:c r="O101" s="14" t="str">
        <x:v>S. J. J. M. F. Kokkelmans</x:v>
      </x:c>
      <x:c r="P101" s="14" t="str">
        <x:v>Servaas Kokkelmans</x:v>
      </x:c>
      <x:c r="Q101" s="14" t="str">
        <x:v>yes</x:v>
      </x:c>
      <x:c r="R101" s="14" t="str">
        <x:v>Eindhoven University of Technology</x:v>
      </x:c>
      <x:c r="S101" s="14" t="str">
        <x:v>arxiv_abs; existing DB</x:v>
      </x:c>
      <x:c r="T101" s="14" t="str">
        <x:v>Eindhoven University of Technology</x:v>
      </x:c>
      <x:c r="U101" s="14"/>
      <x:c r="V101" s="14" t="str">
        <x:v>Eindhoven</x:v>
      </x:c>
      <x:c r="W101" s="14" t="str">
        <x:v>Netherlands</x:v>
      </x:c>
      <x:c r="X101" s="14" t="n">
        <x:v>51.4416</x:v>
      </x:c>
      <x:c r="Y101" s="14" t="n">
        <x:v>5.4697</x:v>
      </x:c>
      <x:c r="Z101" s="14" t="str">
        <x:v>E-010</x:v>
      </x:c>
      <x:c r="AA101" s="14" t="str">
        <x:v>matched_existing</x:v>
      </x:c>
      <x:c r="AB101" s="14"/>
      <x:c r="AC101" s="14" t="str">
        <x:v>https://arxiv.org/abs/2409.04324</x:v>
      </x:c>
      <x:c r="AD101" s="14" t="str">
        <x:v>https://arxiv.org/pdf/2409.04324</x:v>
      </x:c>
      <x:c r="AE101" s="14"/>
      <x:c r="AF101" s="14" t="str">
        <x:v>B</x:v>
      </x:c>
      <x:c r="AG101" s="14" t="str">
        <x:v>Matched to Eindhoven/KAT-1 row; relevant as theory/QEC support.</x:v>
      </x:c>
      <x:c r="AH101" s="53" t="b">
        <x:v>0</x:v>
      </x:c>
    </x:row>
    <x:row r="102">
      <x:c r="A102" s="14" t="str">
        <x:v>ARXIV-PI-0101</x:v>
      </x:c>
      <x:c r="B102" s="14" t="str">
        <x:v>Q-067</x:v>
      </x:c>
      <x:c r="C102" s="14" t="str">
        <x:v>v1.8 grid / loss-biased QEC</x:v>
      </x:c>
      <x:c r="D102" s="14" t="str">
        <x:v>2604.21876</x:v>
      </x:c>
      <x:c r="E102" s="14" t="str">
        <x:v>v1</x:v>
      </x:c>
      <x:c r="F102" s="14" t="str">
        <x:v>Loss-biased fault-tolerant quantum error correction</x:v>
      </x:c>
      <x:c r="G102" s="14" t="n">
        <x:v>2026</x:v>
      </x:c>
      <x:c r="H102" s="14" t="str">
        <x:v>2026-04-23</x:v>
      </x:c>
      <x:c r="I102" s="14"/>
      <x:c r="J102" s="14" t="str">
        <x:v>quant-ph</x:v>
      </x:c>
      <x:c r="K102" s="14" t="str">
        <x:v>quant-ph</x:v>
      </x:c>
      <x:c r="L102" s="14" t="str">
        <x:v>loss-biased QEC; neutral atoms; Rydberg excitation hopping; alkaline-earth</x:v>
      </x:c>
      <x:c r="M102" s="14" t="str">
        <x:v>include</x:v>
      </x:c>
      <x:c r="N102" s="14" t="str">
        <x:v>QEC theory paper on neutral-atom processors and Rydberg excitation hopping/decay; proposes loss-biasing route.</x:v>
      </x:c>
      <x:c r="O102" s="14" t="str">
        <x:v>Guido Pupillo</x:v>
      </x:c>
      <x:c r="P102" s="14" t="str">
        <x:v>Guido Pupillo</x:v>
      </x:c>
      <x:c r="Q102" s="14" t="str">
        <x:v>yes</x:v>
      </x:c>
      <x:c r="R102" s="14" t="str">
        <x:v>Université de Strasbourg / CNRS / CESQ</x:v>
      </x:c>
      <x:c r="S102" s="14" t="str">
        <x:v>arxiv_abs; existing DB</x:v>
      </x:c>
      <x:c r="T102" s="14" t="str">
        <x:v>Université de Strasbourg / CNRS / CESQ</x:v>
      </x:c>
      <x:c r="U102" s="14"/>
      <x:c r="V102" s="14" t="str">
        <x:v>Strasbourg</x:v>
      </x:c>
      <x:c r="W102" s="14" t="str">
        <x:v>France</x:v>
      </x:c>
      <x:c r="X102" s="14" t="n">
        <x:v>48.5839</x:v>
      </x:c>
      <x:c r="Y102" s="14" t="n">
        <x:v>7.7455</x:v>
      </x:c>
      <x:c r="Z102" s="14" t="str">
        <x:v>E-034</x:v>
      </x:c>
      <x:c r="AA102" s="14" t="str">
        <x:v>matched_existing</x:v>
      </x:c>
      <x:c r="AB102" s="14"/>
      <x:c r="AC102" s="14" t="str">
        <x:v>https://arxiv.org/abs/2604.21876</x:v>
      </x:c>
      <x:c r="AD102" s="14" t="str">
        <x:v>https://arxiv.org/pdf/2604.21876</x:v>
      </x:c>
      <x:c r="AE102" s="14"/>
      <x:c r="AF102" s="14" t="str">
        <x:v>B</x:v>
      </x:c>
      <x:c r="AG102" s="14" t="str">
        <x:v>Matched to existing Pupillo/QPerfect-related theory node.</x:v>
      </x:c>
      <x:c r="AH102" s="53" t="b">
        <x:v>0</x:v>
      </x:c>
    </x:row>
    <x:row r="103">
      <x:c r="A103" s="14" t="str">
        <x:v>ARXIV-PI-0102</x:v>
      </x:c>
      <x:c r="B103" s="14" t="str">
        <x:v>Q-073</x:v>
      </x:c>
      <x:c r="C103" s="14" t="str">
        <x:v>v1.8 grid / quantum ML adjacent</x:v>
      </x:c>
      <x:c r="D103" s="14" t="str">
        <x:v>2406.06482</x:v>
      </x:c>
      <x:c r="E103" s="14" t="str">
        <x:v>v1</x:v>
      </x:c>
      <x:c r="F103" s="14" t="str">
        <x:v>Quantum Equilibrium Propagation for efficient training of quantum systems based on Onsager reciprocity</x:v>
      </x:c>
      <x:c r="G103" s="14" t="n">
        <x:v>2024</x:v>
      </x:c>
      <x:c r="H103" s="14" t="str">
        <x:v>2024-06-10</x:v>
      </x:c>
      <x:c r="I103" s="14"/>
      <x:c r="J103" s="14" t="str">
        <x:v>quant-ph</x:v>
      </x:c>
      <x:c r="K103" s="14" t="str">
        <x:v>quant-ph; cond-mat.dis-nn; cs.ET; cs.LG</x:v>
      </x:c>
      <x:c r="L103" s="14" t="str">
        <x:v>neutral atom Rydberg tweezer arrays; quantum ML; equilibrium propagation</x:v>
      </x:c>
      <x:c r="M103" s="14" t="str">
        <x:v>include_as_adjacent</x:v>
      </x:c>
      <x:c r="N103" s="14" t="str">
        <x:v>General quantum ML method; mentions neutral atom Rydberg tweezer arrays as relevant platform but is not platform-specific.</x:v>
      </x:c>
      <x:c r="O103" s="14" t="str">
        <x:v>Florian Marquardt</x:v>
      </x:c>
      <x:c r="P103" s="14" t="str">
        <x:v>Florian Marquardt</x:v>
      </x:c>
      <x:c r="Q103" s="14" t="str">
        <x:v>yes</x:v>
      </x:c>
      <x:c r="R103" s="14" t="str">
        <x:v>affiliation pending</x:v>
      </x:c>
      <x:c r="S103" s="14" t="str">
        <x:v>arxiv_abs only</x:v>
      </x:c>
      <x:c r="T103" s="14" t="str">
        <x:v>institution pending</x:v>
      </x:c>
      <x:c r="U103" s="14"/>
      <x:c r="V103" s="14"/>
      <x:c r="W103" s="14"/>
      <x:c r="X103" s="14"/>
      <x:c r="Y103" s="14"/>
      <x:c r="Z103" s="14"/>
      <x:c r="AA103" s="14" t="str">
        <x:v>new_candidate</x:v>
      </x:c>
      <x:c r="AB103" s="14"/>
      <x:c r="AC103" s="14" t="str">
        <x:v>https://arxiv.org/abs/2406.06482</x:v>
      </x:c>
      <x:c r="AD103" s="14" t="str">
        <x:v>https://arxiv.org/pdf/2406.06482</x:v>
      </x:c>
      <x:c r="AE103" s="14"/>
      <x:c r="AF103" s="14" t="str">
        <x:v>C</x:v>
      </x:c>
      <x:c r="AG103" s="14" t="str">
        <x:v>Adjacent ML/theory candidate; keep in paper layer unless repeated direct Rydberg-array work appears.</x:v>
      </x:c>
      <x:c r="AH103" s="53" t="b">
        <x:v>1</x:v>
      </x:c>
    </x:row>
    <x:row r="104">
      <x:c r="A104" s="14" t="str">
        <x:v>ARXIV-PI-0103</x:v>
      </x:c>
      <x:c r="B104" s="14" t="str">
        <x:v>Q-074</x:v>
      </x:c>
      <x:c r="C104" s="14" t="str">
        <x:v>v1.8 grid / quantum criticality theory</x:v>
      </x:c>
      <x:c r="D104" s="14" t="str">
        <x:v>2512.14149</x:v>
      </x:c>
      <x:c r="E104" s="14" t="str">
        <x:v>v3</x:v>
      </x:c>
      <x:c r="F104" s="14" t="str">
        <x:v>A sine-square deformation approach to quantum critical points in one-dimensional systems</x:v>
      </x:c>
      <x:c r="G104" s="14" t="n">
        <x:v>2025</x:v>
      </x:c>
      <x:c r="H104" s="14" t="str">
        <x:v>2025-12-16</x:v>
      </x:c>
      <x:c r="I104" s="14" t="str">
        <x:v>2026-05-25</x:v>
      </x:c>
      <x:c r="J104" s="14" t="str">
        <x:v>cond-mat.str-el</x:v>
      </x:c>
      <x:c r="K104" s="14" t="str">
        <x:v>cond-mat.str-el; quant-ph</x:v>
      </x:c>
      <x:c r="L104" s="14" t="str">
        <x:v>Rydberg atom arrays; optical tweezers; J1-J2 Ising; critical points</x:v>
      </x:c>
      <x:c r="M104" s="14" t="str">
        <x:v>include_as_candidate</x:v>
      </x:c>
      <x:c r="N104" s="14" t="str">
        <x:v>Theory paper proposes experimental implementation using Rydberg atom arrays in optical tweezers; author/affiliation normalization still incomplete.</x:v>
      </x:c>
      <x:c r="O104" s="14" t="str">
        <x:v>last author pending</x:v>
      </x:c>
      <x:c r="P104" s="14" t="str">
        <x:v>last author pending</x:v>
      </x:c>
      <x:c r="Q104" s="14" t="str">
        <x:v>unclear</x:v>
      </x:c>
      <x:c r="R104" s="14" t="str">
        <x:v>affiliation pending</x:v>
      </x:c>
      <x:c r="S104" s="14" t="str">
        <x:v>arxiv_abs only</x:v>
      </x:c>
      <x:c r="T104" s="14" t="str">
        <x:v>institution pending</x:v>
      </x:c>
      <x:c r="U104" s="14"/>
      <x:c r="V104" s="14"/>
      <x:c r="W104" s="14"/>
      <x:c r="X104" s="14"/>
      <x:c r="Y104" s="14"/>
      <x:c r="Z104" s="14"/>
      <x:c r="AA104" s="14" t="str">
        <x:v>new_candidate</x:v>
      </x:c>
      <x:c r="AB104" s="14"/>
      <x:c r="AC104" s="14" t="str">
        <x:v>https://arxiv.org/abs/2512.14149</x:v>
      </x:c>
      <x:c r="AD104" s="14" t="str">
        <x:v>https://arxiv.org/pdf/2512.14149</x:v>
      </x:c>
      <x:c r="AE104" s="14"/>
      <x:c r="AF104" s="14" t="str">
        <x:v>B/C</x:v>
      </x:c>
      <x:c r="AG104" s="14" t="str">
        <x:v>Add to follow-up queue; need full author list from PDF/arXiv HTML before PI aggregation.</x:v>
      </x:c>
      <x:c r="AH104" s="53" t="b">
        <x:v>1</x:v>
      </x:c>
    </x:row>
    <x:row r="105">
      <x:c r="A105" s="14" t="str">
        <x:v>ARXIV-PI-0104</x:v>
      </x:c>
      <x:c r="B105" s="14" t="str">
        <x:v>Q-072</x:v>
      </x:c>
      <x:c r="C105" s="14" t="str">
        <x:v>v1.8 grid / MBQC Rydberg decay</x:v>
      </x:c>
      <x:c r="D105" s="14" t="str">
        <x:v>2411.04664</x:v>
      </x:c>
      <x:c r="E105" s="14" t="str">
        <x:v>v5</x:v>
      </x:c>
      <x:c r="F105" s="14" t="str">
        <x:v>Taming Rydberg Decay with Measurement-based Quantum Computation</x:v>
      </x:c>
      <x:c r="G105" s="14" t="n">
        <x:v>2024</x:v>
      </x:c>
      <x:c r="H105" s="14" t="str">
        <x:v>2024-11-07</x:v>
      </x:c>
      <x:c r="I105" s="14" t="str">
        <x:v>2026-04-27</x:v>
      </x:c>
      <x:c r="J105" s="14" t="str">
        <x:v>quant-ph</x:v>
      </x:c>
      <x:c r="K105" s="14" t="str">
        <x:v>quant-ph</x:v>
      </x:c>
      <x:c r="L105" s="14" t="str">
        <x:v>Rydberg decay; programmable neutral atom arrays; MBQC; leakage</x:v>
      </x:c>
      <x:c r="M105" s="14" t="str">
        <x:v>include</x:v>
      </x:c>
      <x:c r="N105" s="14" t="str">
        <x:v>QEC/leakage theory paper for programmable neutral atom arrays; last author matches existing USTC/Pan ecosystem.</x:v>
      </x:c>
      <x:c r="O105" s="14" t="str">
        <x:v>Jian-Wei Pan</x:v>
      </x:c>
      <x:c r="P105" s="14" t="str">
        <x:v>Jian-Wei Pan</x:v>
      </x:c>
      <x:c r="Q105" s="14" t="str">
        <x:v>yes</x:v>
      </x:c>
      <x:c r="R105" s="14" t="str">
        <x:v>University of Science and Technology of China</x:v>
      </x:c>
      <x:c r="S105" s="14" t="str">
        <x:v>arxiv_abs; existing DB</x:v>
      </x:c>
      <x:c r="T105" s="14" t="str">
        <x:v>University of Science and Technology of China</x:v>
      </x:c>
      <x:c r="U105" s="14"/>
      <x:c r="V105" s="14" t="str">
        <x:v>Hefei</x:v>
      </x:c>
      <x:c r="W105" s="14" t="str">
        <x:v>China</x:v>
      </x:c>
      <x:c r="X105" s="14" t="n">
        <x:v>31.8206</x:v>
      </x:c>
      <x:c r="Y105" s="14" t="n">
        <x:v>117.2272</x:v>
      </x:c>
      <x:c r="Z105" s="14" t="str">
        <x:v>E-039</x:v>
      </x:c>
      <x:c r="AA105" s="14" t="str">
        <x:v>matched_existing</x:v>
      </x:c>
      <x:c r="AB105" s="14"/>
      <x:c r="AC105" s="14" t="str">
        <x:v>https://arxiv.org/abs/2411.04664</x:v>
      </x:c>
      <x:c r="AD105" s="14" t="str">
        <x:v>https://arxiv.org/pdf/2411.04664</x:v>
      </x:c>
      <x:c r="AE105" s="14"/>
      <x:c r="AF105" s="14" t="str">
        <x:v>B</x:v>
      </x:c>
      <x:c r="AG105" s="14" t="str">
        <x:v>Matched to USTC/Pan row; supports theory/QEC side even if E-039 remains B until core Rydberg-tweezer hardware is clearer.</x:v>
      </x:c>
      <x:c r="AH105" s="53" t="b">
        <x:v>0</x:v>
      </x:c>
    </x:row>
    <x:row r="106">
      <x:c r="A106" s="14" t="str">
        <x:v>ARXIV-PI-0105</x:v>
      </x:c>
      <x:c r="B106" s="14" t="str">
        <x:v>Q-075</x:v>
      </x:c>
      <x:c r="C106" s="14" t="str">
        <x:v>v1.8 review seed / Saffman notes</x:v>
      </x:c>
      <x:c r="D106" s="14" t="str">
        <x:v>2505.11218</x:v>
      </x:c>
      <x:c r="E106" s="14" t="str">
        <x:v>v1</x:v>
      </x:c>
      <x:c r="F106" s="14" t="str">
        <x:v>Quantum computing with atomic qubit arrays: confronting the cost of connectivity</x:v>
      </x:c>
      <x:c r="G106" s="14" t="n">
        <x:v>2025</x:v>
      </x:c>
      <x:c r="H106" s="14" t="str">
        <x:v>2025-05-16</x:v>
      </x:c>
      <x:c r="I106" s="14"/>
      <x:c r="J106" s="14" t="str">
        <x:v>quant-ph</x:v>
      </x:c>
      <x:c r="K106" s="14" t="str">
        <x:v>quant-ph</x:v>
      </x:c>
      <x:c r="L106" s="14" t="str">
        <x:v>review; neutral atom qubit arrays; Rydberg gates; connectivity; QEC</x:v>
      </x:c>
      <x:c r="M106" s="14" t="str">
        <x:v>include_as_review_seed</x:v>
      </x:c>
      <x:c r="N106" s="14" t="str">
        <x:v>Review/perspective notes, not a new group; valuable for mining current references up to Spring 2025.</x:v>
      </x:c>
      <x:c r="O106" s="14" t="str">
        <x:v>M. Saffman</x:v>
      </x:c>
      <x:c r="P106" s="14" t="str">
        <x:v>Mark Saffman</x:v>
      </x:c>
      <x:c r="Q106" s="14" t="str">
        <x:v>yes</x:v>
      </x:c>
      <x:c r="R106" s="14" t="str">
        <x:v>University of Wisconsin-Madison; Infleqtion</x:v>
      </x:c>
      <x:c r="S106" s="14" t="str">
        <x:v>arxiv_html; existing DB</x:v>
      </x:c>
      <x:c r="T106" s="14" t="str">
        <x:v>University of Wisconsin-Madison</x:v>
      </x:c>
      <x:c r="U106" s="14"/>
      <x:c r="V106" s="14" t="str">
        <x:v>Madison</x:v>
      </x:c>
      <x:c r="W106" s="14" t="str">
        <x:v>United States</x:v>
      </x:c>
      <x:c r="X106" s="14" t="n">
        <x:v>43.0731</x:v>
      </x:c>
      <x:c r="Y106" s="14" t="n">
        <x:v>-89.4012</x:v>
      </x:c>
      <x:c r="Z106" s="14" t="str">
        <x:v>E-005</x:v>
      </x:c>
      <x:c r="AA106" s="14" t="str">
        <x:v>matched_existing</x:v>
      </x:c>
      <x:c r="AB106" s="14"/>
      <x:c r="AC106" s="14" t="str">
        <x:v>https://arxiv.org/abs/2505.11218</x:v>
      </x:c>
      <x:c r="AD106" s="14" t="str">
        <x:v>https://arxiv.org/pdf/2505.11218</x:v>
      </x:c>
      <x:c r="AE106" s="14" t="str">
        <x:v>https://arxiv.org/html/2505.11218v1</x:v>
      </x:c>
      <x:c r="AF106" s="14" t="str">
        <x:v>A/B</x:v>
      </x:c>
      <x:c r="AG106" s="14" t="str">
        <x:v>Added also to Review_Seeds as REV-009; use for reference mining rather than map promotion.</x:v>
      </x:c>
      <x:c r="AH106" s="53" t="b">
        <x:v>0</x:v>
      </x:c>
    </x:row>
  </x:sheetData>
  <x:dataValidations count="8">
    <x:dataValidation type="list" sqref="M2:M1000">
      <x:formula1>"pending,include,exclude,staging,merge_duplicate"</x:formula1>
    </x:dataValidation>
    <x:dataValidation type="list" sqref="Q2:Q1000">
      <x:formula1>"yes,no,unclear"</x:formula1>
    </x:dataValidation>
    <x:dataValidation type="list" sqref="S2:S1000">
      <x:formula1>"arxiv_xml,pdf,OpenAlex,Semantic Scholar,official_page,manual_web,unknown"</x:formula1>
    </x:dataValidation>
    <x:dataValidation type="list" sqref="AA2:AA1000">
      <x:formula1>"new,matched,duplicate,conflict,not_checked"</x:formula1>
    </x:dataValidation>
    <x:dataValidation type="list" sqref="AF2:AF1000">
      <x:formula1>"A,B,C,Exclude,Pending"</x:formula1>
    </x:dataValidation>
    <x:dataValidation type="list" sqref="AH2:AH1000">
      <x:formula1>"TRUE,FALSE"</x:formula1>
    </x:dataValidation>
    <x:dataValidation type="list" sqref="M4:M23">
      <x:formula1>"include,exclude,pending"</x:formula1>
    </x:dataValidation>
    <x:dataValidation type="list" sqref="AG4:AG23">
      <x:formula1>"A,A/B,B,B/C,C,Exclude,Pending"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bfeef4c29824d3f"/>
  </x:tableParts>
</x:worksheet>
</file>

<file path=xl/worksheets/sheet12.xml><?xml version="1.0" encoding="utf-8"?>
<x:worksheet xmlns:x="http://schemas.openxmlformats.org/spreadsheetml/2006/main">
  <x:sheetFormatPr defaultRowHeight="15"/>
  <x:cols>
    <x:col min="1" max="1" width="12.630000114440918" hidden="0" customWidth="1"/>
    <x:col min="2" max="2" width="21.25" hidden="0" customWidth="1"/>
    <x:col min="3" max="3" width="17.8799991607666" hidden="0" customWidth="1"/>
    <x:col min="4" max="4" width="7.630000114440918" hidden="0" customWidth="1"/>
    <x:col min="5" max="5" width="5.75" hidden="0" customWidth="1"/>
    <x:col min="6" max="6" width="8.880000114440918" hidden="0" customWidth="1"/>
    <x:col min="7" max="7" width="17" hidden="0" customWidth="1"/>
    <x:col min="8" max="8" width="17.75" hidden="0" customWidth="1"/>
    <x:col min="9" max="9" width="14.75" hidden="0" customWidth="1"/>
    <x:col min="10" max="10" width="14.75" hidden="0" customWidth="1"/>
    <x:col min="11" max="11" width="14.75" hidden="0" customWidth="1"/>
    <x:col min="12" max="12" width="17.75" hidden="0" customWidth="1"/>
    <x:col min="13" max="13" width="17" hidden="0" customWidth="1"/>
    <x:col min="14" max="14" width="18.75" hidden="0" customWidth="1"/>
    <x:col min="15" max="15" width="23.75" hidden="0" customWidth="1"/>
    <x:col min="16" max="16" width="17.25" hidden="0" customWidth="1"/>
    <x:col min="17" max="17" width="14.25" hidden="0" customWidth="1"/>
    <x:col min="18" max="18" width="20.3799991607666" hidden="0" customWidth="1"/>
    <x:col min="19" max="19" width="11.380000114440918" hidden="0" customWidth="1"/>
    <x:col min="20" max="20" width="7.25" hidden="0" customWidth="1"/>
  </x:cols>
  <x:sheetData>
    <x:row r="1" ht="15" hidden="0" customHeight="1">
      <x:c r="A1" s="80" t="str">
        <x:v>pi_record_id</x:v>
      </x:c>
      <x:c r="B1" s="80" t="str">
        <x:v>last_author_normalized</x:v>
      </x:c>
      <x:c r="C1" s="80" t="str">
        <x:v>primary_institution</x:v>
      </x:c>
      <x:c r="D1" s="80" t="str">
        <x:v>ror_id</x:v>
      </x:c>
      <x:c r="E1" s="80" t="str">
        <x:v>city</x:v>
      </x:c>
      <x:c r="F1" s="80" t="str">
        <x:v>country</x:v>
      </x:c>
      <x:c r="G1" s="80" t="str">
        <x:v>entity_type_guess</x:v>
      </x:c>
      <x:c r="H1" s="80" t="str">
        <x:v>database_entity_id</x:v>
      </x:c>
      <x:c r="I1" s="80" t="str">
        <x:v>n_papers_2024</x:v>
      </x:c>
      <x:c r="J1" s="80" t="str">
        <x:v>n_papers_2025</x:v>
      </x:c>
      <x:c r="K1" s="80" t="str">
        <x:v>n_papers_2026</x:v>
      </x:c>
      <x:c r="L1" s="80" t="str">
        <x:v>n_total_2024_2026</x:v>
      </x:c>
      <x:c r="M1" s="80" t="str">
        <x:v>core_paper_count</x:v>
      </x:c>
      <x:c r="N1" s="80" t="str">
        <x:v>theory_paper_count</x:v>
      </x:c>
      <x:c r="O1" s="80" t="str">
        <x:v>experimental_paper_count</x:v>
      </x:c>
      <x:c r="P1" s="80" t="str">
        <x:v>example_arxiv_ids</x:v>
      </x:c>
      <x:c r="Q1" s="80" t="str">
        <x:v>example_titles</x:v>
      </x:c>
      <x:c r="R1" s="80" t="str">
        <x:v>classification_proposal</x:v>
      </x:c>
      <x:c r="S1" s="80" t="str">
        <x:v>confidence</x:v>
      </x:c>
      <x:c r="T1" s="80" t="str">
        <x:v>notes</x:v>
      </x:c>
    </x:row>
    <x:row r="2" ht="15" hidden="0" customHeight="1">
      <x:c r="A2" s="74" t="str">
        <x:v>PI-0001</x:v>
      </x:c>
      <x:c r="B2" s="74" t="str"/>
      <x:c r="C2" s="74" t="str"/>
      <x:c r="D2" s="74" t="str"/>
      <x:c r="E2" s="74" t="str"/>
      <x:c r="F2" s="74" t="str"/>
      <x:c r="G2" s="74" t="str">
        <x:v>academic/theory/company/mixed</x:v>
      </x:c>
      <x:c r="H2" s="74" t="str"/>
      <x:c r="I2" s="74" t="n">
        <x:f>COUNTIFS(Arxiv_PI_Map_2024_2026!P:P,B2,Arxiv_PI_Map_2024_2026!G:G,2024)</x:f>
        <x:v>0</x:v>
      </x:c>
      <x:c r="J2" s="74" t="n">
        <x:f>COUNTIFS(Arxiv_PI_Map_2024_2026!P:P,B2,Arxiv_PI_Map_2024_2026!G:G,2025)</x:f>
        <x:v>0</x:v>
      </x:c>
      <x:c r="K2" s="74" t="n">
        <x:f>COUNTIFS(Arxiv_PI_Map_2024_2026!P:P,B2,Arxiv_PI_Map_2024_2026!G:G,2026)</x:f>
        <x:v>0</x:v>
      </x:c>
      <x:c r="L2" s="74" t="n">
        <x:f>SUM(I2:K2)</x:f>
        <x:v>0</x:v>
      </x:c>
      <x:c r="M2" s="74" t="str"/>
      <x:c r="N2" s="74" t="str"/>
      <x:c r="O2" s="74" t="str"/>
      <x:c r="P2" s="74" t="str"/>
      <x:c r="Q2" s="74" t="str"/>
      <x:c r="R2" s="74" t="str">
        <x:v>Pending</x:v>
      </x:c>
      <x:c r="S2" s="74" t="str">
        <x:v>Pending</x:v>
      </x:c>
      <x:c r="T2" s="74" t="str">
        <x:v>template row</x:v>
      </x:c>
    </x:row>
    <x:row r="3" ht="15" hidden="0" customHeight="1">
      <x:c r="A3" s="14" t="str">
        <x:v>PI-0001</x:v>
      </x:c>
      <x:c r="B3" s="14" t="str">
        <x:v>Jeff D. Thompson</x:v>
      </x:c>
      <x:c r="C3" s="14" t="str">
        <x:v>Princeton University</x:v>
      </x:c>
      <x:c r="D3" s="14"/>
      <x:c r="E3" s="14" t="str">
        <x:v>Princeton</x:v>
      </x:c>
      <x:c r="F3" s="14" t="str">
        <x:v>United States</x:v>
      </x:c>
      <x:c r="G3" s="14" t="str">
        <x:v>academic/mixed</x:v>
      </x:c>
      <x:c r="H3" s="14" t="str">
        <x:v>E-003</x:v>
      </x:c>
      <x:c r="I3" s="14" t="n">
        <x:v>1</x:v>
      </x:c>
      <x:c r="J3" s="14" t="n">
        <x:v>0</x:v>
      </x:c>
      <x:c r="K3" s="14" t="n">
        <x:v>1</x:v>
      </x:c>
      <x:c r="L3" s="14" t="n">
        <x:v>2</x:v>
      </x:c>
      <x:c r="M3" s="14" t="n">
        <x:v>2</x:v>
      </x:c>
      <x:c r="N3" s="14" t="n">
        <x:v>0</x:v>
      </x:c>
      <x:c r="O3" s="14" t="n">
        <x:v>2</x:v>
      </x:c>
      <x:c r="P3" s="14" t="str">
        <x:v>2606.03922; 2406.01482</x:v>
      </x:c>
      <x:c r="Q3" s="14" t="str">
        <x:v>Fast single-atom preparation in optical tweezers via Rydberg blockade | Spectroscopy and modeling of 171Yb Rydberg states for high-fidelity two-qubit ga</x:v>
      </x:c>
      <x:c r="R3" s="14" t="str">
        <x:v>Promote/keep as core experimental or mixed node</x:v>
      </x:c>
      <x:c r="S3" s="14" t="str">
        <x:v>A/B</x:v>
      </x:c>
      <x:c r="T3" s="14" t="str"/>
    </x:row>
    <x:row r="4" ht="15" hidden="0" customHeight="1">
      <x:c r="A4" s="14" t="str">
        <x:v>PI-0010</x:v>
      </x:c>
      <x:c r="B4" s="14" t="str">
        <x:v>Jian-Wei Pan</x:v>
      </x:c>
      <x:c r="C4" s="14" t="str">
        <x:v>University of Science and Technology of China</x:v>
      </x:c>
      <x:c r="D4" s="14"/>
      <x:c r="E4" s="14" t="str">
        <x:v>Hefei</x:v>
      </x:c>
      <x:c r="F4" s="14" t="str">
        <x:v>China</x:v>
      </x:c>
      <x:c r="G4" s="14" t="str">
        <x:v>academic/theory</x:v>
      </x:c>
      <x:c r="H4" s="14" t="str">
        <x:v>E-036</x:v>
      </x:c>
      <x:c r="I4" s="14" t="n">
        <x:v>1</x:v>
      </x:c>
      <x:c r="J4" s="14" t="n">
        <x:v>1</x:v>
      </x:c>
      <x:c r="K4" s="14" t="n">
        <x:v>0</x:v>
      </x:c>
      <x:c r="L4" s="14" t="n">
        <x:v>2</x:v>
      </x:c>
      <x:c r="M4" s="14" t="n">
        <x:v>0</x:v>
      </x:c>
      <x:c r="N4" s="14" t="n">
        <x:v>2</x:v>
      </x:c>
      <x:c r="O4" s="14" t="n">
        <x:v>0</x:v>
      </x:c>
      <x:c r="P4" s="14" t="str">
        <x:v>2411.04664; 2503.01649</x:v>
      </x:c>
      <x:c r="Q4" s="14" t="str">
        <x:v>Taming Rydberg Decay with Measurement-based Quantum Computation | Locating Rydberg Decay Error in SWAP-Leakage Reduction Circuit for Neutral Atom </x:v>
      </x:c>
      <x:c r="R4" s="14" t="str">
        <x:v>Keep as theory/QEC/control node</x:v>
      </x:c>
      <x:c r="S4" s="14" t="str">
        <x:v>B/C</x:v>
      </x:c>
      <x:c r="T4" s="14" t="str">
        <x:v>needs manual affiliation check</x:v>
      </x:c>
    </x:row>
    <x:row r="5" ht="15" hidden="0" customHeight="1">
      <x:c r="A5" s="14" t="str">
        <x:v>PI-0012</x:v>
      </x:c>
      <x:c r="B5" s="14" t="str">
        <x:v>Jin-Guo Liu</x:v>
      </x:c>
      <x:c r="C5" s="14" t="str">
        <x:v>Hong Kong University of Science and Technology (Guangzhou)</x:v>
      </x:c>
      <x:c r="D5" s="14"/>
      <x:c r="E5" s="14" t="str">
        <x:v>Guangzhou</x:v>
      </x:c>
      <x:c r="F5" s="14" t="str">
        <x:v>China</x:v>
      </x:c>
      <x:c r="G5" s="14" t="str">
        <x:v>academic/theory</x:v>
      </x:c>
      <x:c r="H5" s="14" t="str">
        <x:v>E-048</x:v>
      </x:c>
      <x:c r="I5" s="14" t="n">
        <x:v>0</x:v>
      </x:c>
      <x:c r="J5" s="14" t="n">
        <x:v>0</x:v>
      </x:c>
      <x:c r="K5" s="14" t="n">
        <x:v>2</x:v>
      </x:c>
      <x:c r="L5" s="14" t="n">
        <x:v>2</x:v>
      </x:c>
      <x:c r="M5" s="14" t="n">
        <x:v>0</x:v>
      </x:c>
      <x:c r="N5" s="14" t="n">
        <x:v>1</x:v>
      </x:c>
      <x:c r="O5" s="14" t="n">
        <x:v>0</x:v>
      </x:c>
      <x:c r="P5" s="14" t="str">
        <x:v>2606.12030; 2604.04600</x:v>
      </x:c>
      <x:c r="Q5" s="14" t="str">
        <x:v>Measurement-Free Toric-Code Memory in Array Globally Controlled Rydberg Array | Phase-Stable Hologram Updates for Large-Scale Neutral-Atom Array Reconfiguration</x:v>
      </x:c>
      <x:c r="R5" s="14" t="str">
        <x:v>Promoted to theory/QEC/software node</x:v>
      </x:c>
      <x:c r="S5" s="14" t="str">
        <x:v>B</x:v>
      </x:c>
      <x:c r="T5" s="14" t="str">
        <x:v>v0.9 affiliation resolved via HKUST(GZ)/group pages.</x:v>
      </x:c>
    </x:row>
    <x:row r="6" ht="15" hidden="0" customHeight="1">
      <x:c r="A6" s="14" t="str">
        <x:v>PI-0007</x:v>
      </x:c>
      <x:c r="B6" s="14" t="str">
        <x:v>Adam M. Kaufman</x:v>
      </x:c>
      <x:c r="C6" s="14" t="str">
        <x:v>JILA / University of Colorado Boulder</x:v>
      </x:c>
      <x:c r="D6" s="14"/>
      <x:c r="E6" s="14" t="str">
        <x:v>Boulder</x:v>
      </x:c>
      <x:c r="F6" s="14" t="str">
        <x:v>United States</x:v>
      </x:c>
      <x:c r="G6" s="14" t="str">
        <x:v>academic/mixed</x:v>
      </x:c>
      <x:c r="H6" s="14" t="str">
        <x:v>E-014</x:v>
      </x:c>
      <x:c r="I6" s="14" t="n">
        <x:v>0</x:v>
      </x:c>
      <x:c r="J6" s="14" t="n">
        <x:v>1</x:v>
      </x:c>
      <x:c r="K6" s="14" t="n">
        <x:v>0</x:v>
      </x:c>
      <x:c r="L6" s="14" t="n">
        <x:v>1</x:v>
      </x:c>
      <x:c r="M6" s="14" t="n">
        <x:v>1</x:v>
      </x:c>
      <x:c r="N6" s="14" t="n">
        <x:v>0</x:v>
      </x:c>
      <x:c r="O6" s="14" t="n">
        <x:v>1</x:v>
      </x:c>
      <x:c r="P6" s="14" t="str">
        <x:v>2506.13632</x:v>
      </x:c>
      <x:c r="Q6" s="14" t="str">
        <x:v>High-fidelity entanglement and coherent multi-qubit mapping in an atom array</x:v>
      </x:c>
      <x:c r="R6" s="14" t="str">
        <x:v>Promote/keep as core experimental or mixed node</x:v>
      </x:c>
      <x:c r="S6" s="14" t="str">
        <x:v>A/B</x:v>
      </x:c>
      <x:c r="T6" s="14" t="str"/>
    </x:row>
    <x:row r="7" ht="15" hidden="0" customHeight="1">
      <x:c r="A7" s="14" t="str">
        <x:v>PI-0006</x:v>
      </x:c>
      <x:c r="B7" s="14" t="str">
        <x:v>Alex P. Burgers</x:v>
      </x:c>
      <x:c r="C7" s="14" t="str">
        <x:v>University of Michigan</x:v>
      </x:c>
      <x:c r="D7" s="14"/>
      <x:c r="E7" s="14" t="str">
        <x:v>Ann Arbor</x:v>
      </x:c>
      <x:c r="F7" s="14" t="str">
        <x:v>United States</x:v>
      </x:c>
      <x:c r="G7" s="14" t="str">
        <x:v>academic/mixed</x:v>
      </x:c>
      <x:c r="H7" s="14" t="str">
        <x:v>E-051</x:v>
      </x:c>
      <x:c r="I7" s="14" t="n">
        <x:v>0</x:v>
      </x:c>
      <x:c r="J7" s="14" t="n">
        <x:v>0</x:v>
      </x:c>
      <x:c r="K7" s="14" t="n">
        <x:v>1</x:v>
      </x:c>
      <x:c r="L7" s="14" t="n">
        <x:v>1</x:v>
      </x:c>
      <x:c r="M7" s="14" t="n">
        <x:v>0</x:v>
      </x:c>
      <x:c r="N7" s="14" t="n">
        <x:v>0</x:v>
      </x:c>
      <x:c r="O7" s="14" t="n">
        <x:v>0</x:v>
      </x:c>
      <x:c r="P7" s="14" t="str">
        <x:v>2606.08453</x:v>
      </x:c>
      <x:c r="Q7" s="14" t="str">
        <x:v>A Dual Metastable-State Encoding Architecture for Quantum Processing with 171Yb </x:v>
      </x:c>
      <x:c r="R7" s="14" t="str">
        <x:v>Promoted to Yb atom-array architecture node</x:v>
      </x:c>
      <x:c r="S7" s="14" t="str">
        <x:v>B</x:v>
      </x:c>
      <x:c r="T7" s="14" t="str">
        <x:v>v0.9 affiliation resolved via arXiv HTML / UMich source.</x:v>
      </x:c>
    </x:row>
    <x:row r="8" ht="15" hidden="0" customHeight="1">
      <x:c r="A8" s="14" t="str">
        <x:v>PI-0009</x:v>
      </x:c>
      <x:c r="B8" s="14" t="str">
        <x:v>Florian Meinert</x:v>
      </x:c>
      <x:c r="C8" s="14" t="str">
        <x:v>University of Stuttgart</x:v>
      </x:c>
      <x:c r="D8" s="14"/>
      <x:c r="E8" s="14" t="str">
        <x:v>Stuttgart</x:v>
      </x:c>
      <x:c r="F8" s="14" t="str">
        <x:v>Germany</x:v>
      </x:c>
      <x:c r="G8" s="14" t="str">
        <x:v>academic/mixed</x:v>
      </x:c>
      <x:c r="H8" s="14" t="str">
        <x:v>E-028</x:v>
      </x:c>
      <x:c r="I8" s="14" t="n">
        <x:v>1</x:v>
      </x:c>
      <x:c r="J8" s="14" t="n">
        <x:v>0</x:v>
      </x:c>
      <x:c r="K8" s="14" t="n">
        <x:v>0</x:v>
      </x:c>
      <x:c r="L8" s="14" t="n">
        <x:v>1</x:v>
      </x:c>
      <x:c r="M8" s="14" t="n">
        <x:v>1</x:v>
      </x:c>
      <x:c r="N8" s="14" t="n">
        <x:v>0</x:v>
      </x:c>
      <x:c r="O8" s="14" t="n">
        <x:v>1</x:v>
      </x:c>
      <x:c r="P8" s="14" t="str">
        <x:v>2401.10625</x:v>
      </x:c>
      <x:c r="Q8" s="14" t="str">
        <x:v>Long-Lived Circular Rydberg Qubits of Alkaline-Earth Atoms in Optical Tweezers</x:v>
      </x:c>
      <x:c r="R8" s="14" t="str">
        <x:v>Promote/keep as core experimental or mixed node</x:v>
      </x:c>
      <x:c r="S8" s="14" t="str">
        <x:v>A/B</x:v>
      </x:c>
      <x:c r="T8" s="14" t="str"/>
    </x:row>
    <x:row r="9" ht="15" hidden="0" customHeight="1">
      <x:c r="A9" s="14" t="str">
        <x:v>PI-0005</x:v>
      </x:c>
      <x:c r="B9" s="14" t="str">
        <x:v>Hannes Bernien</x:v>
      </x:c>
      <x:c r="C9" s="14" t="str">
        <x:v>University of Chicago</x:v>
      </x:c>
      <x:c r="D9" s="14"/>
      <x:c r="E9" s="14" t="str">
        <x:v>Chicago</x:v>
      </x:c>
      <x:c r="F9" s="14" t="str">
        <x:v>United States</x:v>
      </x:c>
      <x:c r="G9" s="14" t="str">
        <x:v>academic/mixed</x:v>
      </x:c>
      <x:c r="H9" s="14"/>
      <x:c r="I9" s="14" t="n">
        <x:v>1</x:v>
      </x:c>
      <x:c r="J9" s="14" t="n">
        <x:v>0</x:v>
      </x:c>
      <x:c r="K9" s="14" t="n">
        <x:v>0</x:v>
      </x:c>
      <x:c r="L9" s="14" t="n">
        <x:v>1</x:v>
      </x:c>
      <x:c r="M9" s="14" t="n">
        <x:v>1</x:v>
      </x:c>
      <x:c r="N9" s="14" t="n">
        <x:v>0</x:v>
      </x:c>
      <x:c r="O9" s="14" t="n">
        <x:v>1</x:v>
      </x:c>
      <x:c r="P9" s="14" t="str">
        <x:v>2401.10325</x:v>
      </x:c>
      <x:c r="Q9" s="14" t="str">
        <x:v>A dual-species Rydberg array</x:v>
      </x:c>
      <x:c r="R9" s="14" t="str">
        <x:v>Promote/keep as core experimental or mixed node</x:v>
      </x:c>
      <x:c r="S9" s="14" t="str">
        <x:v>A/B</x:v>
      </x:c>
      <x:c r="T9" s="14" t="str"/>
    </x:row>
    <x:row r="10" ht="15" hidden="0" customHeight="1">
      <x:c r="A10" s="14" t="str">
        <x:v>PI-0015</x:v>
      </x:c>
      <x:c r="B10" s="14" t="str">
        <x:v>Heng Shen</x:v>
      </x:c>
      <x:c r="C10" s="14" t="str">
        <x:v>Institution pending</x:v>
      </x:c>
      <x:c r="D10" s="14"/>
      <x:c r="E10" s="14"/>
      <x:c r="F10" s="14"/>
      <x:c r="G10" s="14" t="str">
        <x:v>academic/theory</x:v>
      </x:c>
      <x:c r="H10" s="14"/>
      <x:c r="I10" s="14" t="n">
        <x:v>0</x:v>
      </x:c>
      <x:c r="J10" s="14" t="n">
        <x:v>1</x:v>
      </x:c>
      <x:c r="K10" s="14" t="n">
        <x:v>0</x:v>
      </x:c>
      <x:c r="L10" s="14" t="n">
        <x:v>1</x:v>
      </x:c>
      <x:c r="M10" s="14" t="n">
        <x:v>0</x:v>
      </x:c>
      <x:c r="N10" s="14" t="n">
        <x:v>1</x:v>
      </x:c>
      <x:c r="O10" s="14" t="n">
        <x:v>0</x:v>
      </x:c>
      <x:c r="P10" s="14" t="str">
        <x:v>2504.19214</x:v>
      </x:c>
      <x:c r="Q10" s="14" t="str">
        <x:v>Rapid passage to ordered states in Rydberg atom arrays</x:v>
      </x:c>
      <x:c r="R10" s="14" t="str">
        <x:v>Keep as theory/QEC/control node</x:v>
      </x:c>
      <x:c r="S10" s="14" t="str">
        <x:v>B/C</x:v>
      </x:c>
      <x:c r="T10" s="14" t="str">
        <x:v>needs manual affiliation check</x:v>
      </x:c>
    </x:row>
    <x:row r="11" ht="15" hidden="0" customHeight="1">
      <x:c r="A11" s="14" t="str">
        <x:v>PI-0004</x:v>
      </x:c>
      <x:c r="B11" s="14" t="str">
        <x:v>Kang-Kuen Ni</x:v>
      </x:c>
      <x:c r="C11" s="14" t="str">
        <x:v>Harvard University</x:v>
      </x:c>
      <x:c r="D11" s="14"/>
      <x:c r="E11" s="14" t="str">
        <x:v>Cambridge</x:v>
      </x:c>
      <x:c r="F11" s="14" t="str">
        <x:v>United States</x:v>
      </x:c>
      <x:c r="G11" s="14" t="str">
        <x:v>academic/mixed</x:v>
      </x:c>
      <x:c r="H11" s="14" t="str">
        <x:v>E-052</x:v>
      </x:c>
      <x:c r="I11" s="14" t="n">
        <x:v>0</x:v>
      </x:c>
      <x:c r="J11" s="14" t="n">
        <x:v>0</x:v>
      </x:c>
      <x:c r="K11" s="14" t="n">
        <x:v>1</x:v>
      </x:c>
      <x:c r="L11" s="14" t="n">
        <x:v>1</x:v>
      </x:c>
      <x:c r="M11" s="14" t="n">
        <x:v>1</x:v>
      </x:c>
      <x:c r="N11" s="14" t="n">
        <x:v>0</x:v>
      </x:c>
      <x:c r="O11" s="14" t="n">
        <x:v>1</x:v>
      </x:c>
      <x:c r="P11" s="14" t="str">
        <x:v>2605.10924</x:v>
      </x:c>
      <x:c r="Q11" s="14" t="str">
        <x:v>Multi-Qubit Stabilizer Readout on a Dual-Species Rydberg Array</x:v>
      </x:c>
      <x:c r="R11" s="14" t="str">
        <x:v>Promoted to core experimental dual-species Rydberg node</x:v>
      </x:c>
      <x:c r="S11" s="14" t="str">
        <x:v>A</x:v>
      </x:c>
      <x:c r="T11" s="14" t="str">
        <x:v>v0.9 separated Ni dual-species node from general Harvard/Lukin row.</x:v>
      </x:c>
    </x:row>
    <x:row r="12" ht="15" hidden="0" customHeight="1">
      <x:c r="A12" s="14" t="str">
        <x:v>PI-0002</x:v>
      </x:c>
      <x:c r="B12" s="14" t="str">
        <x:v>Manuel Endres</x:v>
      </x:c>
      <x:c r="C12" s="14" t="str">
        <x:v>California Institute of Technology</x:v>
      </x:c>
      <x:c r="D12" s="14"/>
      <x:c r="E12" s="14" t="str">
        <x:v>Pasadena</x:v>
      </x:c>
      <x:c r="F12" s="14" t="str">
        <x:v>United States</x:v>
      </x:c>
      <x:c r="G12" s="14" t="str">
        <x:v>academic/mixed</x:v>
      </x:c>
      <x:c r="H12" s="14" t="str">
        <x:v>E-004</x:v>
      </x:c>
      <x:c r="I12" s="14" t="n">
        <x:v>0</x:v>
      </x:c>
      <x:c r="J12" s="14" t="n">
        <x:v>0</x:v>
      </x:c>
      <x:c r="K12" s="14" t="n">
        <x:v>1</x:v>
      </x:c>
      <x:c r="L12" s="14" t="n">
        <x:v>1</x:v>
      </x:c>
      <x:c r="M12" s="14" t="n">
        <x:v>1</x:v>
      </x:c>
      <x:c r="N12" s="14" t="n">
        <x:v>0</x:v>
      </x:c>
      <x:c r="O12" s="14" t="n">
        <x:v>1</x:v>
      </x:c>
      <x:c r="P12" s="14" t="str">
        <x:v>2603.21643</x:v>
      </x:c>
      <x:c r="Q12" s="14" t="str">
        <x:v>Gate-based Readout and Cooling of Neutral Atoms</x:v>
      </x:c>
      <x:c r="R12" s="14" t="str">
        <x:v>Promote/keep as core experimental or mixed node</x:v>
      </x:c>
      <x:c r="S12" s="14" t="str">
        <x:v>A/B</x:v>
      </x:c>
      <x:c r="T12" s="14" t="str"/>
    </x:row>
    <x:row r="13" ht="15" hidden="0" customHeight="1">
      <x:c r="A13" s="14" t="str">
        <x:v>PI-0003</x:v>
      </x:c>
      <x:c r="B13" s="14" t="str">
        <x:v>Mark Saffman</x:v>
      </x:c>
      <x:c r="C13" s="14" t="str">
        <x:v>University of Wisconsin-Madison</x:v>
      </x:c>
      <x:c r="D13" s="14"/>
      <x:c r="E13" s="14" t="str">
        <x:v>Madison</x:v>
      </x:c>
      <x:c r="F13" s="14" t="str">
        <x:v>United States</x:v>
      </x:c>
      <x:c r="G13" s="14" t="str">
        <x:v>academic/mixed</x:v>
      </x:c>
      <x:c r="H13" s="14" t="str">
        <x:v>E-005</x:v>
      </x:c>
      <x:c r="I13" s="14" t="n">
        <x:v>0</x:v>
      </x:c>
      <x:c r="J13" s="14" t="n">
        <x:v>0</x:v>
      </x:c>
      <x:c r="K13" s="14" t="n">
        <x:v>1</x:v>
      </x:c>
      <x:c r="L13" s="14" t="n">
        <x:v>1</x:v>
      </x:c>
      <x:c r="M13" s="14" t="n">
        <x:v>1</x:v>
      </x:c>
      <x:c r="N13" s="14" t="n">
        <x:v>0</x:v>
      </x:c>
      <x:c r="O13" s="14" t="n">
        <x:v>1</x:v>
      </x:c>
      <x:c r="P13" s="14" t="str">
        <x:v>2603.13492</x:v>
      </x:c>
      <x:c r="Q13" s="14" t="str">
        <x:v>Qubit syndrome measurements with a high fidelity Rb-Cs Rydberg gate</x:v>
      </x:c>
      <x:c r="R13" s="14" t="str">
        <x:v>Promote/keep as core experimental or mixed node</x:v>
      </x:c>
      <x:c r="S13" s="14" t="str">
        <x:v>A/B</x:v>
      </x:c>
      <x:c r="T13" s="14" t="str"/>
    </x:row>
    <x:row r="14" ht="15" hidden="0" customHeight="1">
      <x:c r="A14" s="14" t="str">
        <x:v>PI-0017</x:v>
      </x:c>
      <x:c r="B14" s="14" t="str">
        <x:v>Pai Peng</x:v>
      </x:c>
      <x:c r="C14" s="14" t="str">
        <x:v>Peking University</x:v>
      </x:c>
      <x:c r="D14" s="14"/>
      <x:c r="E14" s="14" t="str">
        <x:v>Beijing</x:v>
      </x:c>
      <x:c r="F14" s="14" t="str">
        <x:v>China</x:v>
      </x:c>
      <x:c r="G14" s="14" t="str">
        <x:v>academic/mixed</x:v>
      </x:c>
      <x:c r="H14" s="14" t="str">
        <x:v>E-050</x:v>
      </x:c>
      <x:c r="I14" s="14" t="n">
        <x:v>0</x:v>
      </x:c>
      <x:c r="J14" s="14" t="n">
        <x:v>1</x:v>
      </x:c>
      <x:c r="K14" s="14" t="n">
        <x:v>0</x:v>
      </x:c>
      <x:c r="L14" s="14" t="n">
        <x:v>1</x:v>
      </x:c>
      <x:c r="M14" s="14" t="n">
        <x:v>0</x:v>
      </x:c>
      <x:c r="N14" s="14" t="n">
        <x:v>0</x:v>
      </x:c>
      <x:c r="O14" s="14" t="n">
        <x:v>1</x:v>
      </x:c>
      <x:c r="P14" s="14" t="str">
        <x:v>2512.19795</x:v>
      </x:c>
      <x:c r="Q14" s="14" t="str">
        <x:v>High-efficiency loading of 2,400 Ytterbium atoms in optical tweezer arrays</x:v>
      </x:c>
      <x:c r="R14" s="14" t="str">
        <x:v>Promoted as B optical-tweezer/Yb platform node</x:v>
      </x:c>
      <x:c r="S14" s="14" t="str">
        <x:v>B</x:v>
      </x:c>
      <x:c r="T14" s="14" t="str">
        <x:v>v0.9 affiliation resolved; Rydberg role is currently prospective/estimated.</x:v>
      </x:c>
    </x:row>
    <x:row r="15" ht="15" hidden="0" customHeight="1">
      <x:c r="A15" s="14" t="str">
        <x:v>PI-0014</x:v>
      </x:c>
      <x:c r="B15" s="14" t="str">
        <x:v>Pengfei Zhang</x:v>
      </x:c>
      <x:c r="C15" s="14" t="str">
        <x:v>Fudan University</x:v>
      </x:c>
      <x:c r="D15" s="14"/>
      <x:c r="E15" s="14" t="str">
        <x:v>Shanghai</x:v>
      </x:c>
      <x:c r="F15" s="14" t="str">
        <x:v>China</x:v>
      </x:c>
      <x:c r="G15" s="14" t="str">
        <x:v>academic/theory</x:v>
      </x:c>
      <x:c r="H15" s="14" t="str">
        <x:v>E-049</x:v>
      </x:c>
      <x:c r="I15" s="14" t="n">
        <x:v>0</x:v>
      </x:c>
      <x:c r="J15" s="14" t="n">
        <x:v>1</x:v>
      </x:c>
      <x:c r="K15" s="14" t="n">
        <x:v>0</x:v>
      </x:c>
      <x:c r="L15" s="14" t="n">
        <x:v>1</x:v>
      </x:c>
      <x:c r="M15" s="14" t="n">
        <x:v>0</x:v>
      </x:c>
      <x:c r="N15" s="14" t="n">
        <x:v>1</x:v>
      </x:c>
      <x:c r="O15" s="14" t="n">
        <x:v>0</x:v>
      </x:c>
      <x:c r="P15" s="14" t="str">
        <x:v>2507.16751</x:v>
      </x:c>
      <x:c r="Q15" s="14" t="str">
        <x:v>Many-Body Physics from Spin-Phonon Coupling in Rydberg Atom Arrays</x:v>
      </x:c>
      <x:c r="R15" s="14" t="str">
        <x:v>Promoted to theory/spin-phonon Rydberg-array node</x:v>
      </x:c>
      <x:c r="S15" s="14" t="str">
        <x:v>B</x:v>
      </x:c>
      <x:c r="T15" s="14" t="str">
        <x:v>v0.9 affiliation resolved from PDF/APS.</x:v>
      </x:c>
    </x:row>
    <x:row r="16" ht="15" hidden="0" customHeight="1">
      <x:c r="A16" s="14" t="str">
        <x:v>PI-0011</x:v>
      </x:c>
      <x:c r="B16" s="14" t="str">
        <x:v>Servaas Kokkelmans</x:v>
      </x:c>
      <x:c r="C16" s="14" t="str">
        <x:v>Eindhoven University of Technology</x:v>
      </x:c>
      <x:c r="D16" s="14"/>
      <x:c r="E16" s="14" t="str">
        <x:v>Eindhoven</x:v>
      </x:c>
      <x:c r="F16" s="14" t="str">
        <x:v>Netherlands</x:v>
      </x:c>
      <x:c r="G16" s="14" t="str">
        <x:v>academic/theory</x:v>
      </x:c>
      <x:c r="H16" s="14" t="str">
        <x:v>E-010</x:v>
      </x:c>
      <x:c r="I16" s="14" t="n">
        <x:v>1</x:v>
      </x:c>
      <x:c r="J16" s="14" t="n">
        <x:v>0</x:v>
      </x:c>
      <x:c r="K16" s="14" t="n">
        <x:v>0</x:v>
      </x:c>
      <x:c r="L16" s="14" t="n">
        <x:v>1</x:v>
      </x:c>
      <x:c r="M16" s="14" t="n">
        <x:v>0</x:v>
      </x:c>
      <x:c r="N16" s="14" t="n">
        <x:v>1</x:v>
      </x:c>
      <x:c r="O16" s="14" t="n">
        <x:v>0</x:v>
      </x:c>
      <x:c r="P16" s="14" t="str">
        <x:v>2409.04324</x:v>
      </x:c>
      <x:c r="Q16" s="14" t="str">
        <x:v>Geometrical Approach to Logical Qubit Fidelities of Neutral Atom CSS Codes</x:v>
      </x:c>
      <x:c r="R16" s="14" t="str">
        <x:v>Keep as theory/QEC/control node</x:v>
      </x:c>
      <x:c r="S16" s="14" t="str">
        <x:v>B</x:v>
      </x:c>
      <x:c r="T16" s="14" t="str">
        <x:v>v0.9 fixed previous incorrect E-018/PASQAL match.</x:v>
      </x:c>
    </x:row>
    <x:row r="17" ht="15" hidden="0" customHeight="1">
      <x:c r="A17" s="14" t="str">
        <x:v>PI-0013</x:v>
      </x:c>
      <x:c r="B17" s="14" t="str">
        <x:v>Unknown from search snippet</x:v>
      </x:c>
      <x:c r="C17" s="14" t="str">
        <x:v>Institution pending</x:v>
      </x:c>
      <x:c r="D17" s="14"/>
      <x:c r="E17" s="14"/>
      <x:c r="F17" s="14"/>
      <x:c r="G17" s="14" t="str">
        <x:v>academic/theory</x:v>
      </x:c>
      <x:c r="H17" s="14"/>
      <x:c r="I17" s="14" t="n">
        <x:v>1</x:v>
      </x:c>
      <x:c r="J17" s="14" t="n">
        <x:v>0</x:v>
      </x:c>
      <x:c r="K17" s="14" t="n">
        <x:v>0</x:v>
      </x:c>
      <x:c r="L17" s="14" t="n">
        <x:v>1</x:v>
      </x:c>
      <x:c r="M17" s="14" t="n">
        <x:v>0</x:v>
      </x:c>
      <x:c r="N17" s="14" t="n">
        <x:v>1</x:v>
      </x:c>
      <x:c r="O17" s="14" t="n">
        <x:v>0</x:v>
      </x:c>
      <x:c r="P17" s="14" t="str">
        <x:v>2412.12019</x:v>
      </x:c>
      <x:c r="Q17" s="14" t="str">
        <x:v>Learning interactions between Rydberg atoms</x:v>
      </x:c>
      <x:c r="R17" s="14" t="str">
        <x:v>Keep as theory/QEC/control node</x:v>
      </x:c>
      <x:c r="S17" s="14" t="str">
        <x:v>B/C</x:v>
      </x:c>
      <x:c r="T17" s="14" t="str">
        <x:v>needs manual affiliation check</x:v>
      </x:c>
    </x:row>
    <x:row r="18" ht="15" hidden="0" customHeight="1">
      <x:c r="A18" s="14" t="str">
        <x:v>PI-0008</x:v>
      </x:c>
      <x:c r="B18" s="14" t="str">
        <x:v>Waseem S. Bakr</x:v>
      </x:c>
      <x:c r="C18" s="14" t="str">
        <x:v>Princeton University</x:v>
      </x:c>
      <x:c r="D18" s="14"/>
      <x:c r="E18" s="14" t="str">
        <x:v>Princeton</x:v>
      </x:c>
      <x:c r="F18" s="14" t="str">
        <x:v>United States</x:v>
      </x:c>
      <x:c r="G18" s="14" t="str">
        <x:v>academic/mixed</x:v>
      </x:c>
      <x:c r="H18" s="14"/>
      <x:c r="I18" s="14" t="n">
        <x:v>0</x:v>
      </x:c>
      <x:c r="J18" s="14" t="n">
        <x:v>0</x:v>
      </x:c>
      <x:c r="K18" s="14" t="n">
        <x:v>1</x:v>
      </x:c>
      <x:c r="L18" s="14" t="n">
        <x:v>1</x:v>
      </x:c>
      <x:c r="M18" s="14" t="n">
        <x:v>1</x:v>
      </x:c>
      <x:c r="N18" s="14" t="n">
        <x:v>0</x:v>
      </x:c>
      <x:c r="O18" s="14" t="n">
        <x:v>1</x:v>
      </x:c>
      <x:c r="P18" s="14" t="str">
        <x:v>2602.05959</x:v>
      </x:c>
      <x:c r="Q18" s="14" t="str">
        <x:v>Extended Rydberg Lifetimes in a Cryogenic Atom Array</x:v>
      </x:c>
      <x:c r="R18" s="14" t="str">
        <x:v>Promote/keep as core experimental or mixed node</x:v>
      </x:c>
      <x:c r="S18" s="14" t="str">
        <x:v>A/B</x:v>
      </x:c>
      <x:c r="T18" s="14" t="str"/>
    </x:row>
    <x:row r="19" ht="15" hidden="0" customHeight="1">
      <x:c r="A19" s="14" t="str">
        <x:v>PI-0016</x:v>
      </x:c>
      <x:c r="B19" s="14" t="str">
        <x:v>Xiangliang Li</x:v>
      </x:c>
      <x:c r="C19" s="14" t="str">
        <x:v>Institution pending</x:v>
      </x:c>
      <x:c r="D19" s="14"/>
      <x:c r="E19" s="14"/>
      <x:c r="F19" s="14"/>
      <x:c r="G19" s="14" t="str">
        <x:v>academic/theory</x:v>
      </x:c>
      <x:c r="H19" s="14"/>
      <x:c r="I19" s="14" t="n">
        <x:v>1</x:v>
      </x:c>
      <x:c r="J19" s="14" t="n">
        <x:v>0</x:v>
      </x:c>
      <x:c r="K19" s="14" t="n">
        <x:v>0</x:v>
      </x:c>
      <x:c r="L19" s="14" t="n">
        <x:v>1</x:v>
      </x:c>
      <x:c r="M19" s="14" t="n">
        <x:v>0</x:v>
      </x:c>
      <x:c r="N19" s="14" t="n">
        <x:v>1</x:v>
      </x:c>
      <x:c r="O19" s="14" t="n">
        <x:v>0</x:v>
      </x:c>
      <x:c r="P19" s="14" t="str">
        <x:v>2408.16274</x:v>
      </x:c>
      <x:c r="Q19" s="14" t="str">
        <x:v>High-fidelity and robust controlled-Z gates implemented with Rydberg atoms via e</x:v>
      </x:c>
      <x:c r="R19" s="14" t="str">
        <x:v>Keep as theory/QEC/control node</x:v>
      </x:c>
      <x:c r="S19" s="14" t="str">
        <x:v>B/C</x:v>
      </x:c>
      <x:c r="T19" s="14" t="str">
        <x:v>needs manual affiliation check</x:v>
      </x:c>
    </x:row>
    <x:row r="20">
      <x:c r="A20" s="14" t="str">
        <x:v>PI-0019</x:v>
      </x:c>
      <x:c r="B20" s="14" t="str">
        <x:v>Manuel Endres</x:v>
      </x:c>
      <x:c r="C20" s="14" t="str">
        <x:v>California Institute of Technology</x:v>
      </x:c>
      <x:c r="D20" s="14"/>
      <x:c r="E20" s="14" t="str">
        <x:v>Pasadena</x:v>
      </x:c>
      <x:c r="F20" s="14" t="str">
        <x:v>United States</x:v>
      </x:c>
      <x:c r="G20" s="14" t="str">
        <x:v>academic/mixed</x:v>
      </x:c>
      <x:c r="H20" s="14" t="str">
        <x:v>E-004</x:v>
      </x:c>
      <x:c r="I20" s="14" t="n">
        <x:v>1</x:v>
      </x:c>
      <x:c r="J20" s="14" t="n">
        <x:v>0</x:v>
      </x:c>
      <x:c r="K20" s="14" t="n">
        <x:v>1</x:v>
      </x:c>
      <x:c r="L20" s="14" t="n">
        <x:v>2</x:v>
      </x:c>
      <x:c r="M20" s="14" t="n">
        <x:v>1</x:v>
      </x:c>
      <x:c r="N20" s="14" t="n">
        <x:v>0</x:v>
      </x:c>
      <x:c r="O20" s="14" t="n">
        <x:v>2</x:v>
      </x:c>
      <x:c r="P20" s="14" t="str">
        <x:v>2403.12021; 2603.21643</x:v>
      </x:c>
      <x:c r="Q20" s="14" t="str">
        <x:v>A tweezer array with 6100 highly coherent atomic qubits | Gate-based Readout and Cooling of Neutral Atoms</x:v>
      </x:c>
      <x:c r="R20" s="14" t="str">
        <x:v>Keep/promote as core experimental/mixed node</x:v>
      </x:c>
      <x:c r="S20" s="14" t="str">
        <x:v>A</x:v>
      </x:c>
      <x:c r="T20" s="14" t="str">
        <x:v>v0.8 adds scale-up paper to existing Endres node.</x:v>
      </x:c>
    </x:row>
    <x:row r="21">
      <x:c r="A21" s="14" t="str">
        <x:v>PI-0020</x:v>
      </x:c>
      <x:c r="B21" s="14" t="str">
        <x:v>Jian-Wei Pan</x:v>
      </x:c>
      <x:c r="C21" s="14" t="str">
        <x:v>University of Science and Technology of China</x:v>
      </x:c>
      <x:c r="D21" s="14"/>
      <x:c r="E21" s="14" t="str">
        <x:v>Hefei</x:v>
      </x:c>
      <x:c r="F21" s="14" t="str">
        <x:v>China</x:v>
      </x:c>
      <x:c r="G21" s="14" t="str">
        <x:v>academic/mixed</x:v>
      </x:c>
      <x:c r="H21" s="14" t="str">
        <x:v>E-036</x:v>
      </x:c>
      <x:c r="I21" s="14" t="n">
        <x:v>1</x:v>
      </x:c>
      <x:c r="J21" s="14" t="n">
        <x:v>1</x:v>
      </x:c>
      <x:c r="K21" s="14" t="n">
        <x:v>1</x:v>
      </x:c>
      <x:c r="L21" s="14" t="n">
        <x:v>3</x:v>
      </x:c>
      <x:c r="M21" s="14" t="n">
        <x:v>1</x:v>
      </x:c>
      <x:c r="N21" s="14" t="n">
        <x:v>1</x:v>
      </x:c>
      <x:c r="O21" s="14" t="n">
        <x:v>1</x:v>
      </x:c>
      <x:c r="P21" s="14" t="str">
        <x:v>2411.04664; 2503.01649; 2603.01612</x:v>
      </x:c>
      <x:c r="Q21" s="14" t="str">
        <x:v>Taming Rydberg Decay | Locating Rydberg Decay Error | Sustaining high-fidelity quantum logic</x:v>
      </x:c>
      <x:c r="R21" s="14" t="str">
        <x:v>Keep as mixed experimental/QEC node; validate exact experimental subgroup</x:v>
      </x:c>
      <x:c r="S21" s="14" t="str">
        <x:v>B</x:v>
      </x:c>
      <x:c r="T21" s="14" t="str">
        <x:v>Several papers point to USTC/Pan ecosystem but affiliation/subgroup split needs cleanup.</x:v>
      </x:c>
    </x:row>
    <x:row r="22">
      <x:c r="A22" s="14" t="str">
        <x:v>PI-0021</x:v>
      </x:c>
      <x:c r="B22" s="14" t="str">
        <x:v>Guido Pupillo</x:v>
      </x:c>
      <x:c r="C22" s="14" t="str">
        <x:v>Université de Strasbourg / CNRS / CESQ</x:v>
      </x:c>
      <x:c r="D22" s="14"/>
      <x:c r="E22" s="14" t="str">
        <x:v>Strasbourg</x:v>
      </x:c>
      <x:c r="F22" s="14" t="str">
        <x:v>France</x:v>
      </x:c>
      <x:c r="G22" s="14" t="str">
        <x:v>academic/theory</x:v>
      </x:c>
      <x:c r="H22" s="14" t="str">
        <x:v>E-034</x:v>
      </x:c>
      <x:c r="I22" s="14" t="n">
        <x:v>0</x:v>
      </x:c>
      <x:c r="J22" s="14" t="n">
        <x:v>1</x:v>
      </x:c>
      <x:c r="K22" s="14" t="n">
        <x:v>0</x:v>
      </x:c>
      <x:c r="L22" s="14" t="n">
        <x:v>1</x:v>
      </x:c>
      <x:c r="M22" s="14" t="n">
        <x:v>1</x:v>
      </x:c>
      <x:c r="N22" s="14" t="n">
        <x:v>1</x:v>
      </x:c>
      <x:c r="O22" s="14" t="n">
        <x:v>0</x:v>
      </x:c>
      <x:c r="P22" s="14" t="str">
        <x:v>2507.06096</x:v>
      </x:c>
      <x:c r="Q22" s="14" t="str">
        <x:v>Low-depth quantum error correction via three-qubit gates in Rydberg atom arrays</x:v>
      </x:c>
      <x:c r="R22" s="14" t="str">
        <x:v>Merge to existing Pupillo theory/QEC node</x:v>
      </x:c>
      <x:c r="S22" s="14" t="str">
        <x:v>B</x:v>
      </x:c>
      <x:c r="T22" s="14" t="str">
        <x:v>v0.9 verified existing row via official CESQ page.</x:v>
      </x:c>
    </x:row>
    <x:row r="23">
      <x:c r="A23" s="14" t="str">
        <x:v>PI-0022</x:v>
      </x:c>
      <x:c r="B23" s="14" t="str">
        <x:v>Ivan H. Deutsch</x:v>
      </x:c>
      <x:c r="C23" s="14" t="str">
        <x:v>University of New Mexico</x:v>
      </x:c>
      <x:c r="D23" s="14"/>
      <x:c r="E23" s="14" t="str">
        <x:v>Albuquerque</x:v>
      </x:c>
      <x:c r="F23" s="14" t="str">
        <x:v>United States</x:v>
      </x:c>
      <x:c r="G23" s="14" t="str">
        <x:v>academic/theory</x:v>
      </x:c>
      <x:c r="H23" s="14" t="str">
        <x:v>E-044</x:v>
      </x:c>
      <x:c r="I23" s="14" t="n">
        <x:v>0</x:v>
      </x:c>
      <x:c r="J23" s="14" t="n">
        <x:v>0</x:v>
      </x:c>
      <x:c r="K23" s="14" t="n">
        <x:v>1</x:v>
      </x:c>
      <x:c r="L23" s="14" t="n">
        <x:v>1</x:v>
      </x:c>
      <x:c r="M23" s="14" t="n">
        <x:v>1</x:v>
      </x:c>
      <x:c r="N23" s="14" t="n">
        <x:v>1</x:v>
      </x:c>
      <x:c r="O23" s="14" t="n">
        <x:v>0</x:v>
      </x:c>
      <x:c r="P23" s="14" t="str">
        <x:v>2606.02283</x:v>
      </x:c>
      <x:c r="Q23" s="14" t="str">
        <x:v>Quantum optimal control of the Dicke manifold in dipolar Rydberg atom arrays</x:v>
      </x:c>
      <x:c r="R23" s="14" t="str">
        <x:v>Promoted to theory/control node</x:v>
      </x:c>
      <x:c r="S23" s="14" t="str">
        <x:v>B</x:v>
      </x:c>
      <x:c r="T23" s="14" t="str">
        <x:v>v0.9 affiliation verified via official UNM/CQuIC page.</x:v>
      </x:c>
    </x:row>
    <x:row r="24">
      <x:c r="A24" s="14" t="str">
        <x:v>PI-0023</x:v>
      </x:c>
      <x:c r="B24" s="14" t="str">
        <x:v>Vittorio Vitale</x:v>
      </x:c>
      <x:c r="C24" s="14" t="str">
        <x:v>PASQAL</x:v>
      </x:c>
      <x:c r="D24" s="14"/>
      <x:c r="E24" s="14" t="str">
        <x:v>Palaiseau / Massy</x:v>
      </x:c>
      <x:c r="F24" s="14" t="str">
        <x:v>France</x:v>
      </x:c>
      <x:c r="G24" s="14" t="str">
        <x:v>theory/software/company?</x:v>
      </x:c>
      <x:c r="H24" s="14" t="str">
        <x:v>E-018</x:v>
      </x:c>
      <x:c r="I24" s="14" t="n">
        <x:v>0</x:v>
      </x:c>
      <x:c r="J24" s="14" t="n">
        <x:v>1</x:v>
      </x:c>
      <x:c r="K24" s="14" t="n">
        <x:v>0</x:v>
      </x:c>
      <x:c r="L24" s="14" t="n">
        <x:v>1</x:v>
      </x:c>
      <x:c r="M24" s="14" t="n">
        <x:v>0</x:v>
      </x:c>
      <x:c r="N24" s="14" t="n">
        <x:v>1</x:v>
      </x:c>
      <x:c r="O24" s="14" t="n">
        <x:v>0</x:v>
      </x:c>
      <x:c r="P24" s="14" t="str">
        <x:v>2508.06130</x:v>
      </x:c>
      <x:c r="Q24" s="14" t="str">
        <x:v>Quantum Optimization on Rydberg Atom Arrays with Arbitrary Connectivity</x:v>
      </x:c>
      <x:c r="R24" s="14" t="str">
        <x:v>Merge to PASQAL software/application ecosystem</x:v>
      </x:c>
      <x:c r="S24" s="14" t="str">
        <x:v>B/C</x:v>
      </x:c>
      <x:c r="T24" s="14" t="str">
        <x:v>v0.9 merged company/software paper rather than creating duplicate.</x:v>
      </x:c>
    </x:row>
    <x:row r="25">
      <x:c r="A25" s="14" t="str">
        <x:v>PI-0024</x:v>
      </x:c>
      <x:c r="B25" s="14" t="str">
        <x:v>Igor Lesanovsky</x:v>
      </x:c>
      <x:c r="C25" s="14" t="str">
        <x:v>University of Tübingen</x:v>
      </x:c>
      <x:c r="D25" s="14"/>
      <x:c r="E25" s="14" t="str">
        <x:v>Tübingen</x:v>
      </x:c>
      <x:c r="F25" s="14" t="str">
        <x:v>Germany</x:v>
      </x:c>
      <x:c r="G25" s="14" t="str">
        <x:v>academic/theory</x:v>
      </x:c>
      <x:c r="H25" s="14" t="str">
        <x:v>E-017</x:v>
      </x:c>
      <x:c r="I25" s="14" t="n">
        <x:v>0</x:v>
      </x:c>
      <x:c r="J25" s="14" t="n">
        <x:v>1</x:v>
      </x:c>
      <x:c r="K25" s="14" t="n">
        <x:v>0</x:v>
      </x:c>
      <x:c r="L25" s="14" t="n">
        <x:v>1</x:v>
      </x:c>
      <x:c r="M25" s="14" t="n">
        <x:v>0</x:v>
      </x:c>
      <x:c r="N25" s="14" t="n">
        <x:v>1</x:v>
      </x:c>
      <x:c r="O25" s="14" t="n">
        <x:v>0</x:v>
      </x:c>
      <x:c r="P25" s="14" t="str">
        <x:v>2506.09865</x:v>
      </x:c>
      <x:c r="Q25" s="14" t="str">
        <x:v>Rydberg atom arrays as quantum simulators for molecular dynamics</x:v>
      </x:c>
      <x:c r="R25" s="14" t="str">
        <x:v>Merge/update existing Lesanovsky theory/simulation node</x:v>
      </x:c>
      <x:c r="S25" s="14" t="str">
        <x:v>B</x:v>
      </x:c>
      <x:c r="T25" s="14" t="str">
        <x:v>v0.9 normalized affiliation; existing DB row retained.</x:v>
      </x:c>
    </x:row>
    <x:row r="26">
      <x:c r="A26" s="14" t="str">
        <x:v>PI-0025</x:v>
      </x:c>
      <x:c r="B26" s="14" t="str">
        <x:v>Grégoire Misguich</x:v>
      </x:c>
      <x:c r="C26" s="14" t="str">
        <x:v>CEA / Institut de Physique Théorique</x:v>
      </x:c>
      <x:c r="D26" s="14"/>
      <x:c r="E26" s="14" t="str">
        <x:v>Saclay</x:v>
      </x:c>
      <x:c r="F26" s="14" t="str">
        <x:v>France</x:v>
      </x:c>
      <x:c r="G26" s="14" t="str">
        <x:v>academic/theory</x:v>
      </x:c>
      <x:c r="H26" s="14" t="str">
        <x:v>E-045</x:v>
      </x:c>
      <x:c r="I26" s="14" t="n">
        <x:v>0</x:v>
      </x:c>
      <x:c r="J26" s="14" t="n">
        <x:v>1</x:v>
      </x:c>
      <x:c r="K26" s="14" t="n">
        <x:v>1</x:v>
      </x:c>
      <x:c r="L26" s="14" t="n">
        <x:v>2</x:v>
      </x:c>
      <x:c r="M26" s="14" t="n">
        <x:v>0</x:v>
      </x:c>
      <x:c r="N26" s="14" t="n">
        <x:v>2</x:v>
      </x:c>
      <x:c r="O26" s="14" t="n">
        <x:v>0</x:v>
      </x:c>
      <x:c r="P26" s="14" t="str">
        <x:v>2507.07875; 2604.18457</x:v>
      </x:c>
      <x:c r="Q26" s="14" t="str">
        <x:v>Preparing spin-squeezed states | Random-State Generation and Preparation Complexity</x:v>
      </x:c>
      <x:c r="R26" s="14" t="str">
        <x:v>Promoted to theory/control node</x:v>
      </x:c>
      <x:c r="S26" s="14" t="str">
        <x:v>B</x:v>
      </x:c>
      <x:c r="T26" s="14" t="str">
        <x:v>v0.9 affiliation verified via official IPhT page.</x:v>
      </x:c>
    </x:row>
    <x:row r="27">
      <x:c r="A27" s="14" t="str">
        <x:v>PI-0026</x:v>
      </x:c>
      <x:c r="B27" s="14" t="str">
        <x:v>Maksym Serbyn</x:v>
      </x:c>
      <x:c r="C27" s="14" t="str">
        <x:v>Institute of Science and Technology Austria (ISTA)</x:v>
      </x:c>
      <x:c r="D27" s="14"/>
      <x:c r="E27" s="14" t="str">
        <x:v>Klosterneuburg</x:v>
      </x:c>
      <x:c r="F27" s="14" t="str">
        <x:v>Austria</x:v>
      </x:c>
      <x:c r="G27" s="14" t="str">
        <x:v>academic/theory</x:v>
      </x:c>
      <x:c r="H27" s="14" t="str">
        <x:v>E-046</x:v>
      </x:c>
      <x:c r="I27" s="14" t="n">
        <x:v>0</x:v>
      </x:c>
      <x:c r="J27" s="14" t="n">
        <x:v>1</x:v>
      </x:c>
      <x:c r="K27" s="14" t="n">
        <x:v>1</x:v>
      </x:c>
      <x:c r="L27" s="14" t="n">
        <x:v>2</x:v>
      </x:c>
      <x:c r="M27" s="14" t="n">
        <x:v>0</x:v>
      </x:c>
      <x:c r="N27" s="14" t="n">
        <x:v>2</x:v>
      </x:c>
      <x:c r="O27" s="14" t="n">
        <x:v>0</x:v>
      </x:c>
      <x:c r="P27" s="14" t="str">
        <x:v>2507.13196; 2605.05297</x:v>
      </x:c>
      <x:c r="Q27" s="14" t="str">
        <x:v>Discrete solitons | Systematic construction of many-body scars</x:v>
      </x:c>
      <x:c r="R27" s="14" t="str">
        <x:v>Promoted to many-body theory node</x:v>
      </x:c>
      <x:c r="S27" s="14" t="str">
        <x:v>B/C</x:v>
      </x:c>
      <x:c r="T27" s="14" t="str">
        <x:v>v0.9 affiliation verified via group/ISTA sources.</x:v>
      </x:c>
    </x:row>
    <x:row r="28">
      <x:c r="A28" s="14" t="str">
        <x:v>PI-0027</x:v>
      </x:c>
      <x:c r="B28" s="14" t="str">
        <x:v>Guang-Can Guo</x:v>
      </x:c>
      <x:c r="C28" s="14" t="str">
        <x:v>University of Science and Technology of China</x:v>
      </x:c>
      <x:c r="D28" s="14"/>
      <x:c r="E28" s="14" t="str">
        <x:v>Hefei</x:v>
      </x:c>
      <x:c r="F28" s="14" t="str">
        <x:v>China</x:v>
      </x:c>
      <x:c r="G28" s="14" t="str">
        <x:v>academic/theory</x:v>
      </x:c>
      <x:c r="H28" s="14"/>
      <x:c r="I28" s="14" t="n">
        <x:v>0</x:v>
      </x:c>
      <x:c r="J28" s="14" t="n">
        <x:v>0</x:v>
      </x:c>
      <x:c r="K28" s="14" t="n">
        <x:v>1</x:v>
      </x:c>
      <x:c r="L28" s="14" t="n">
        <x:v>1</x:v>
      </x:c>
      <x:c r="M28" s="14" t="n">
        <x:v>0</x:v>
      </x:c>
      <x:c r="N28" s="14" t="n">
        <x:v>1</x:v>
      </x:c>
      <x:c r="O28" s="14" t="n">
        <x:v>0</x:v>
      </x:c>
      <x:c r="P28" s="14" t="str">
        <x:v>2602.00610</x:v>
      </x:c>
      <x:c r="Q28" s="14" t="str">
        <x:v>Practical Quantum Reservoir Computing in Rydberg Atom Arrays</x:v>
      </x:c>
      <x:c r="R28" s="14" t="str">
        <x:v>Add as applications/theory candidate</x:v>
      </x:c>
      <x:c r="S28" s="14" t="str">
        <x:v>B/C</x:v>
      </x:c>
      <x:c r="T28" s="14" t="str">
        <x:v>Potentially a separate USTC theory/application node.</x:v>
      </x:c>
    </x:row>
    <x:row r="29">
      <x:c r="A29" s="14" t="str">
        <x:v>PI-0028</x:v>
      </x:c>
      <x:c r="B29" s="14" t="str">
        <x:v>Jaewook Ahn</x:v>
      </x:c>
      <x:c r="C29" s="14" t="str">
        <x:v>KAIST</x:v>
      </x:c>
      <x:c r="D29" s="14"/>
      <x:c r="E29" s="14" t="str">
        <x:v>Daejeon</x:v>
      </x:c>
      <x:c r="F29" s="14" t="str">
        <x:v>South Korea</x:v>
      </x:c>
      <x:c r="G29" s="14" t="str">
        <x:v>academic/mixed</x:v>
      </x:c>
      <x:c r="H29" s="14"/>
      <x:c r="I29" s="14" t="n">
        <x:v>0</x:v>
      </x:c>
      <x:c r="J29" s="14" t="n">
        <x:v>0</x:v>
      </x:c>
      <x:c r="K29" s="14" t="n">
        <x:v>1</x:v>
      </x:c>
      <x:c r="L29" s="14" t="n">
        <x:v>1</x:v>
      </x:c>
      <x:c r="M29" s="14" t="n">
        <x:v>0</x:v>
      </x:c>
      <x:c r="N29" s="14" t="n">
        <x:v>1</x:v>
      </x:c>
      <x:c r="O29" s="14" t="n">
        <x:v>0</x:v>
      </x:c>
      <x:c r="P29" s="14" t="str">
        <x:v>2602.05432</x:v>
      </x:c>
      <x:c r="Q29" s="14" t="str">
        <x:v>Quantum-Enhanced Deterministic Inference of k-Independent Set Instances</x:v>
      </x:c>
      <x:c r="R29" s="14" t="str">
        <x:v>Stage as Asia optimization/neutral-atom array node</x:v>
      </x:c>
      <x:c r="S29" s="14" t="str">
        <x:v>B/C</x:v>
      </x:c>
      <x:c r="T29" s="14" t="str">
        <x:v>Verify experiment/theory status and optical tweezer platform.</x:v>
      </x:c>
    </x:row>
    <x:row r="30">
      <x:c r="A30" s="14" t="str">
        <x:v>PI-0029</x:v>
      </x:c>
      <x:c r="B30" s="14" t="str">
        <x:v>Juan Carrasquilla</x:v>
      </x:c>
      <x:c r="C30" s="14" t="str">
        <x:v>ETH Zurich</x:v>
      </x:c>
      <x:c r="D30" s="14"/>
      <x:c r="E30" s="14" t="str">
        <x:v>Zurich</x:v>
      </x:c>
      <x:c r="F30" s="14" t="str">
        <x:v>Switzerland</x:v>
      </x:c>
      <x:c r="G30" s="14" t="str">
        <x:v>academic/theory</x:v>
      </x:c>
      <x:c r="H30" s="14" t="str">
        <x:v>E-047</x:v>
      </x:c>
      <x:c r="I30" s="14" t="n">
        <x:v>1</x:v>
      </x:c>
      <x:c r="J30" s="14" t="n">
        <x:v>0</x:v>
      </x:c>
      <x:c r="K30" s="14" t="n">
        <x:v>0</x:v>
      </x:c>
      <x:c r="L30" s="14" t="n">
        <x:v>1</x:v>
      </x:c>
      <x:c r="M30" s="14" t="n">
        <x:v>0</x:v>
      </x:c>
      <x:c r="N30" s="14" t="n">
        <x:v>1</x:v>
      </x:c>
      <x:c r="O30" s="14" t="n">
        <x:v>0</x:v>
      </x:c>
      <x:c r="P30" s="14" t="str">
        <x:v>2405.20384</x:v>
      </x:c>
      <x:c r="Q30" s="14" t="str">
        <x:v>Recurrent neural network wave functions for Rydberg atom arrays on kagome lattice</x:v>
      </x:c>
      <x:c r="R30" s="14" t="str">
        <x:v>Promoted to theory/ML node</x:v>
      </x:c>
      <x:c r="S30" s="14" t="str">
        <x:v>B/C</x:v>
      </x:c>
      <x:c r="T30" s="14" t="str">
        <x:v>v0.9 affiliation normalized via ETH news.</x:v>
      </x:c>
    </x:row>
    <x:row r="31">
      <x:c r="A31" s="14" t="str">
        <x:v>PI-0030</x:v>
      </x:c>
      <x:c r="B31" s="14" t="str">
        <x:v>Vladan Vuletić</x:v>
      </x:c>
      <x:c r="C31" s="14" t="str">
        <x:v>Massachusetts Institute of Technology</x:v>
      </x:c>
      <x:c r="D31" s="14"/>
      <x:c r="E31" s="14" t="str">
        <x:v>Cambridge</x:v>
      </x:c>
      <x:c r="F31" s="14" t="str">
        <x:v>United States</x:v>
      </x:c>
      <x:c r="G31" s="14" t="str">
        <x:v>academic/mixed</x:v>
      </x:c>
      <x:c r="H31" s="14" t="str">
        <x:v>E-030</x:v>
      </x:c>
      <x:c r="I31" s="14" t="n">
        <x:v>1</x:v>
      </x:c>
      <x:c r="J31" s="14" t="n">
        <x:v>0</x:v>
      </x:c>
      <x:c r="K31" s="14" t="n">
        <x:v>0</x:v>
      </x:c>
      <x:c r="L31" s="14" t="n">
        <x:v>1</x:v>
      </x:c>
      <x:c r="M31" s="14" t="n">
        <x:v>0</x:v>
      </x:c>
      <x:c r="N31" s="14" t="n">
        <x:v>1</x:v>
      </x:c>
      <x:c r="O31" s="14" t="n">
        <x:v>0</x:v>
      </x:c>
      <x:c r="P31" s="14" t="str">
        <x:v>2408.08955</x:v>
      </x:c>
      <x:c r="Q31" s="14" t="str">
        <x:v>Fault-tolerant optical interconnects for neutral-atom arrays</x:v>
      </x:c>
      <x:c r="R31" s="14" t="str">
        <x:v>Keep as interface/architecture node</x:v>
      </x:c>
      <x:c r="S31" s="14" t="str">
        <x:v>B</x:v>
      </x:c>
      <x:c r="T31" s="14" t="str">
        <x:v>Strengthens existing MIT/Vuletic row; not core tweezers-only but strategically relevant.</x:v>
      </x:c>
    </x:row>
    <x:row r="32">
      <x:c r="A32" s="14" t="str">
        <x:v>PI-0031</x:v>
      </x:c>
      <x:c r="B32" s="14" t="str">
        <x:v>Helmut G. Katzgraber</x:v>
      </x:c>
      <x:c r="C32" s="14" t="str">
        <x:v>Institution pending</x:v>
      </x:c>
      <x:c r="D32" s="14"/>
      <x:c r="E32" s="14"/>
      <x:c r="F32" s="14"/>
      <x:c r="G32" s="14" t="str">
        <x:v>software/theory/company?</x:v>
      </x:c>
      <x:c r="H32" s="14"/>
      <x:c r="I32" s="14" t="n">
        <x:v>1</x:v>
      </x:c>
      <x:c r="J32" s="14" t="n">
        <x:v>0</x:v>
      </x:c>
      <x:c r="K32" s="14" t="n">
        <x:v>0</x:v>
      </x:c>
      <x:c r="L32" s="14" t="n">
        <x:v>1</x:v>
      </x:c>
      <x:c r="M32" s="14" t="n">
        <x:v>0</x:v>
      </x:c>
      <x:c r="N32" s="14" t="n">
        <x:v>1</x:v>
      </x:c>
      <x:c r="O32" s="14" t="n">
        <x:v>0</x:v>
      </x:c>
      <x:c r="P32" s="14" t="str">
        <x:v>2412.14976</x:v>
      </x:c>
      <x:c r="Q32" s="14" t="str">
        <x:v>Quantum Compilation Toolkit for Rydberg Atom Arrays</x:v>
      </x:c>
      <x:c r="R32" s="14" t="str">
        <x:v>Stage as compiler/software node</x:v>
      </x:c>
      <x:c r="S32" s="14" t="str">
        <x:v>B/C</x:v>
      </x:c>
      <x:c r="T32" s="14" t="str">
        <x:v>Could be industry/academic mixed; verify affiliation.</x:v>
      </x:c>
    </x:row>
    <x:row r="33">
      <x:c r="A33" s="14" t="str">
        <x:v>PI-0032</x:v>
      </x:c>
      <x:c r="B33" s="14" t="str">
        <x:v>Thomas Bilitewski</x:v>
      </x:c>
      <x:c r="C33" s="14" t="str">
        <x:v>Oklahoma State University</x:v>
      </x:c>
      <x:c r="D33" s="14"/>
      <x:c r="E33" s="14" t="str">
        <x:v>Stillwater</x:v>
      </x:c>
      <x:c r="F33" s="14" t="str">
        <x:v>United States</x:v>
      </x:c>
      <x:c r="G33" s="14" t="str">
        <x:v>academic/theory</x:v>
      </x:c>
      <x:c r="H33" s="14" t="str">
        <x:v>E-053</x:v>
      </x:c>
      <x:c r="I33" s="14" t="n">
        <x:v>0</x:v>
      </x:c>
      <x:c r="J33" s="14" t="n">
        <x:v>0</x:v>
      </x:c>
      <x:c r="K33" s="14" t="n">
        <x:v>1</x:v>
      </x:c>
      <x:c r="L33" s="14" t="n">
        <x:v>1</x:v>
      </x:c>
      <x:c r="M33" s="14" t="n">
        <x:v>0</x:v>
      </x:c>
      <x:c r="N33" s="14" t="n">
        <x:v>1</x:v>
      </x:c>
      <x:c r="O33" s="14" t="n">
        <x:v>0</x:v>
      </x:c>
      <x:c r="P33" s="14" t="str">
        <x:v>2605.00096</x:v>
      </x:c>
      <x:c r="Q33" s="14" t="str">
        <x:v>Scalable spin-nematic squeezing in multi-level dipole-interacting Rydberg atom arrays</x:v>
      </x:c>
      <x:c r="R33" s="14" t="str">
        <x:v>Promoted as adjacent metrology/theory node</x:v>
      </x:c>
      <x:c r="S33" s="14" t="str">
        <x:v>C</x:v>
      </x:c>
      <x:c r="T33" s="14" t="str">
        <x:v>v0.9 based on arXiv HTML email/domain; official profile still needed.</x:v>
      </x:c>
    </x:row>
    <x:row r="34" ht="42" customHeight="1">
      <x:c r="A34" s="14" t="str">
        <x:v>PI-0033</x:v>
      </x:c>
      <x:c r="B34" s="14" t="str">
        <x:v>Ming Xue</x:v>
      </x:c>
      <x:c r="C34" s="14" t="str">
        <x:v>Institution pending</x:v>
      </x:c>
      <x:c r="D34" s="14"/>
      <x:c r="E34" s="14"/>
      <x:c r="F34" s="14"/>
      <x:c r="G34" s="14" t="str">
        <x:v>academic/theory</x:v>
      </x:c>
      <x:c r="H34" s="14"/>
      <x:c r="I34" s="14" t="n">
        <x:v>1</x:v>
      </x:c>
      <x:c r="J34" s="14" t="n">
        <x:v>0</x:v>
      </x:c>
      <x:c r="K34" s="14" t="n">
        <x:v>0</x:v>
      </x:c>
      <x:c r="L34" s="14" t="n">
        <x:v>1</x:v>
      </x:c>
      <x:c r="M34" s="14" t="n">
        <x:v>0</x:v>
      </x:c>
      <x:c r="N34" s="14" t="n">
        <x:v>1</x:v>
      </x:c>
      <x:c r="O34" s="14" t="n">
        <x:v>0</x:v>
      </x:c>
      <x:c r="P34" s="14" t="str">
        <x:v>2408.17048</x:v>
      </x:c>
      <x:c r="Q34" s="14" t="str">
        <x:v>Efficient generation of multiqubit entanglement states using rapid adiabatic passage</x:v>
      </x:c>
      <x:c r="R34" s="14" t="str">
        <x:v>Keep candidate pending affiliation</x:v>
      </x:c>
      <x:c r="S34" s="14" t="str">
        <x:v>C/B</x:v>
      </x:c>
      <x:c r="T34" s="14" t="str">
        <x:v>Gate protocol; affiliation unresolved.</x:v>
      </x:c>
    </x:row>
    <x:row r="35" ht="42" customHeight="1">
      <x:c r="A35" s="14" t="str">
        <x:v>PI-0034</x:v>
      </x:c>
      <x:c r="B35" s="14" t="str">
        <x:v>Susanne F. Yelin</x:v>
      </x:c>
      <x:c r="C35" s="14" t="str">
        <x:v>Institution pending</x:v>
      </x:c>
      <x:c r="D35" s="14"/>
      <x:c r="E35" s="14"/>
      <x:c r="F35" s="14"/>
      <x:c r="G35" s="14" t="str">
        <x:v>academic/theory/mixed</x:v>
      </x:c>
      <x:c r="H35" s="14"/>
      <x:c r="I35" s="14" t="n">
        <x:v>0</x:v>
      </x:c>
      <x:c r="J35" s="14" t="n">
        <x:v>1</x:v>
      </x:c>
      <x:c r="K35" s="14" t="n">
        <x:v>0</x:v>
      </x:c>
      <x:c r="L35" s="14" t="n">
        <x:v>1</x:v>
      </x:c>
      <x:c r="M35" s="14" t="n">
        <x:v>0</x:v>
      </x:c>
      <x:c r="N35" s="14" t="n">
        <x:v>1</x:v>
      </x:c>
      <x:c r="O35" s="14" t="n">
        <x:v>0</x:v>
      </x:c>
      <x:c r="P35" s="14" t="str">
        <x:v>2508.19075</x:v>
      </x:c>
      <x:c r="Q35" s="14" t="str">
        <x:v>Universal Dynamics with Globally Controlled Analog Quantum Simulators</x:v>
      </x:c>
      <x:c r="R35" s="14" t="str">
        <x:v>Keep candidate; resolve affiliation</x:v>
      </x:c>
      <x:c r="S35" s="14" t="str">
        <x:v>B</x:v>
      </x:c>
      <x:c r="T35" s="14" t="str">
        <x:v>Global-control analog/Rydberg-array relevance.</x:v>
      </x:c>
    </x:row>
    <x:row r="36" ht="42" customHeight="1">
      <x:c r="A36" s="14" t="str">
        <x:v>PI-0035</x:v>
      </x:c>
      <x:c r="B36" s="14" t="str">
        <x:v>Jingbo B. Wang</x:v>
      </x:c>
      <x:c r="C36" s="14" t="str">
        <x:v>Institution pending</x:v>
      </x:c>
      <x:c r="D36" s="14"/>
      <x:c r="E36" s="14"/>
      <x:c r="F36" s="14"/>
      <x:c r="G36" s="14" t="str">
        <x:v>academic/application</x:v>
      </x:c>
      <x:c r="H36" s="14"/>
      <x:c r="I36" s="14" t="n">
        <x:v>0</x:v>
      </x:c>
      <x:c r="J36" s="14" t="n">
        <x:v>1</x:v>
      </x:c>
      <x:c r="K36" s="14" t="n">
        <x:v>0</x:v>
      </x:c>
      <x:c r="L36" s="14" t="n">
        <x:v>1</x:v>
      </x:c>
      <x:c r="M36" s="14" t="n">
        <x:v>0</x:v>
      </x:c>
      <x:c r="N36" s="14" t="n">
        <x:v>0</x:v>
      </x:c>
      <x:c r="O36" s="14" t="n">
        <x:v>0</x:v>
      </x:c>
      <x:c r="P36" s="14" t="str">
        <x:v>2512.18612</x:v>
      </x:c>
      <x:c r="Q36" s="14" t="str">
        <x:v>Image Denoising via Quantum Reservoir Computing</x:v>
      </x:c>
      <x:c r="R36" s="14" t="str">
        <x:v>Keep application candidate</x:v>
      </x:c>
      <x:c r="S36" s="14" t="str">
        <x:v>C/B</x:v>
      </x:c>
      <x:c r="T36" s="14" t="str">
        <x:v>QuEra/Aquila application layer.</x:v>
      </x:c>
    </x:row>
    <x:row r="37" ht="42" customHeight="1">
      <x:c r="A37" s="14" t="str">
        <x:v>PI-0036</x:v>
      </x:c>
      <x:c r="B37" s="14" t="str">
        <x:v>Wenchao Xu</x:v>
      </x:c>
      <x:c r="C37" s="14" t="str">
        <x:v>ETH Zürich / Paul Scherrer Institut</x:v>
      </x:c>
      <x:c r="D37" s="14"/>
      <x:c r="E37" s="14" t="str">
        <x:v>Zürich / Villigen</x:v>
      </x:c>
      <x:c r="F37" s="14" t="str">
        <x:v>Switzerland</x:v>
      </x:c>
      <x:c r="G37" s="14" t="str">
        <x:v>academic/theory</x:v>
      </x:c>
      <x:c r="H37" s="14"/>
      <x:c r="I37" s="14" t="n">
        <x:v>0</x:v>
      </x:c>
      <x:c r="J37" s="14" t="n">
        <x:v>1</x:v>
      </x:c>
      <x:c r="K37" s="14" t="n">
        <x:v>0</x:v>
      </x:c>
      <x:c r="L37" s="14" t="n">
        <x:v>1</x:v>
      </x:c>
      <x:c r="M37" s="14" t="n">
        <x:v>0</x:v>
      </x:c>
      <x:c r="N37" s="14" t="n">
        <x:v>1</x:v>
      </x:c>
      <x:c r="O37" s="14" t="n">
        <x:v>0</x:v>
      </x:c>
      <x:c r="P37" s="14" t="str">
        <x:v>2503.16896</x:v>
      </x:c>
      <x:c r="Q37" s="14" t="str">
        <x:v>Dual-type dual-element atom arrays for quantum information processing</x:v>
      </x:c>
      <x:c r="R37" s="14" t="str">
        <x:v>Promote only after senior-PI check</x:v>
      </x:c>
      <x:c r="S37" s="14" t="str">
        <x:v>B</x:v>
      </x:c>
      <x:c r="T37" s="14" t="str">
        <x:v>Architecture/QEC proposal; affiliation resolved from arXiv HTML.</x:v>
      </x:c>
    </x:row>
    <x:row r="38" ht="42" customHeight="1">
      <x:c r="A38" s="14" t="str">
        <x:v>PI-0037</x:v>
      </x:c>
      <x:c r="B38" s="14" t="str">
        <x:v>Lixin He</x:v>
      </x:c>
      <x:c r="C38" s="14" t="str">
        <x:v>University of Science and Technology of China</x:v>
      </x:c>
      <x:c r="D38" s="14"/>
      <x:c r="E38" s="14" t="str">
        <x:v>Hefei</x:v>
      </x:c>
      <x:c r="F38" s="14" t="str">
        <x:v>China</x:v>
      </x:c>
      <x:c r="G38" s="14" t="str">
        <x:v>academic/theory</x:v>
      </x:c>
      <x:c r="H38" s="14"/>
      <x:c r="I38" s="14" t="n">
        <x:v>0</x:v>
      </x:c>
      <x:c r="J38" s="14" t="n">
        <x:v>1</x:v>
      </x:c>
      <x:c r="K38" s="14" t="n">
        <x:v>0</x:v>
      </x:c>
      <x:c r="L38" s="14" t="n">
        <x:v>1</x:v>
      </x:c>
      <x:c r="M38" s="14" t="n">
        <x:v>0</x:v>
      </x:c>
      <x:c r="N38" s="14" t="n">
        <x:v>1</x:v>
      </x:c>
      <x:c r="O38" s="14" t="n">
        <x:v>0</x:v>
      </x:c>
      <x:c r="P38" s="14" t="str">
        <x:v>2503.18413</x:v>
      </x:c>
      <x:c r="Q38" s="14" t="str">
        <x:v>Exploring the Finite-Temperature Behavior of Rydberg Atom Arrays</x:v>
      </x:c>
      <x:c r="R38" s="14" t="str">
        <x:v>Candidate theory node</x:v>
      </x:c>
      <x:c r="S38" s="14" t="str">
        <x:v>B</x:v>
      </x:c>
      <x:c r="T38" s="14" t="str">
        <x:v>Clean affiliation; decide merge vs new USTC theory row.</x:v>
      </x:c>
    </x:row>
    <x:row r="39" ht="42" customHeight="1">
      <x:c r="A39" s="14" t="str">
        <x:v>PI-0038</x:v>
      </x:c>
      <x:c r="B39" s="14" t="str">
        <x:v>Yoshiro Takahashi</x:v>
      </x:c>
      <x:c r="C39" s="14" t="str">
        <x:v>Kyoto University</x:v>
      </x:c>
      <x:c r="D39" s="14"/>
      <x:c r="E39" s="14" t="str">
        <x:v>Kyoto</x:v>
      </x:c>
      <x:c r="F39" s="14" t="str">
        <x:v>Japan</x:v>
      </x:c>
      <x:c r="G39" s="14" t="str">
        <x:v>academic/mixed</x:v>
      </x:c>
      <x:c r="H39" s="14"/>
      <x:c r="I39" s="14" t="n">
        <x:v>0</x:v>
      </x:c>
      <x:c r="J39" s="14" t="n">
        <x:v>1</x:v>
      </x:c>
      <x:c r="K39" s="14" t="n">
        <x:v>0</x:v>
      </x:c>
      <x:c r="L39" s="14" t="n">
        <x:v>1</x:v>
      </x:c>
      <x:c r="M39" s="14" t="n">
        <x:v>0</x:v>
      </x:c>
      <x:c r="N39" s="14" t="n">
        <x:v>0</x:v>
      </x:c>
      <x:c r="O39" s="14" t="n">
        <x:v>1</x:v>
      </x:c>
      <x:c r="P39" s="14" t="str">
        <x:v>2501.05935</x:v>
      </x:c>
      <x:c r="Q39" s="14" t="str">
        <x:v>Plane-selective manipulations of nuclear spin qubits in a three-dimensional optical tweezer array</x:v>
      </x:c>
      <x:c r="R39" s="14" t="str">
        <x:v>Keep adjacent/core candidate</x:v>
      </x:c>
      <x:c r="S39" s="14" t="str">
        <x:v>B/C</x:v>
      </x:c>
      <x:c r="T39" s="14" t="str">
        <x:v>3D tweezer architecture; Rydberg contextual.</x:v>
      </x:c>
    </x:row>
    <x:row r="40" ht="42" customHeight="1">
      <x:c r="A40" s="14" t="str">
        <x:v>PI-0039</x:v>
      </x:c>
      <x:c r="B40" s="14" t="str">
        <x:v>Bruno Ximenez</x:v>
      </x:c>
      <x:c r="C40" s="14" t="str">
        <x:v>PASQAL SAS</x:v>
      </x:c>
      <x:c r="D40" s="14"/>
      <x:c r="E40" s="14" t="str">
        <x:v>Palaiseau</x:v>
      </x:c>
      <x:c r="F40" s="14" t="str">
        <x:v>France</x:v>
      </x:c>
      <x:c r="G40" s="14" t="str">
        <x:v>company/experimental</x:v>
      </x:c>
      <x:c r="H40" s="14" t="str">
        <x:v>E-006</x:v>
      </x:c>
      <x:c r="I40" s="14" t="n">
        <x:v>0</x:v>
      </x:c>
      <x:c r="J40" s="14" t="n">
        <x:v>0</x:v>
      </x:c>
      <x:c r="K40" s="14" t="n">
        <x:v>1</x:v>
      </x:c>
      <x:c r="L40" s="14" t="n">
        <x:v>1</x:v>
      </x:c>
      <x:c r="M40" s="14" t="n">
        <x:v>1</x:v>
      </x:c>
      <x:c r="N40" s="14" t="n">
        <x:v>0</x:v>
      </x:c>
      <x:c r="O40" s="14" t="n">
        <x:v>1</x:v>
      </x:c>
      <x:c r="P40" s="14" t="str">
        <x:v>2604.07205</x:v>
      </x:c>
      <x:c r="Q40" s="14" t="str">
        <x:v>Defect-free arrays at the thousand-atom scale in a 4-K cryogenic environment</x:v>
      </x:c>
      <x:c r="R40" s="14" t="str">
        <x:v>Matched to PASQAL ecosystem</x:v>
      </x:c>
      <x:c r="S40" s="14" t="str">
        <x:v>A</x:v>
      </x:c>
      <x:c r="T40" s="14" t="str">
        <x:v>Infrastructure paper; avoid creating separate DB row.</x:v>
      </x:c>
    </x:row>
    <x:row r="41" ht="42" customHeight="1">
      <x:c r="A41" s="14" t="str">
        <x:v>PI-0040</x:v>
      </x:c>
      <x:c r="B41" s="14" t="str">
        <x:v>Peng Xu</x:v>
      </x:c>
      <x:c r="C41" s="14" t="str">
        <x:v>Institution pending</x:v>
      </x:c>
      <x:c r="D41" s="14"/>
      <x:c r="E41" s="14"/>
      <x:c r="F41" s="14"/>
      <x:c r="G41" s="14" t="str">
        <x:v>academic/experimental</x:v>
      </x:c>
      <x:c r="H41" s="14"/>
      <x:c r="I41" s="14" t="n">
        <x:v>0</x:v>
      </x:c>
      <x:c r="J41" s="14" t="n">
        <x:v>0</x:v>
      </x:c>
      <x:c r="K41" s="14" t="n">
        <x:v>1</x:v>
      </x:c>
      <x:c r="L41" s="14" t="n">
        <x:v>1</x:v>
      </x:c>
      <x:c r="M41" s="14" t="n">
        <x:v>1</x:v>
      </x:c>
      <x:c r="N41" s="14" t="n">
        <x:v>0</x:v>
      </x:c>
      <x:c r="O41" s="14" t="n">
        <x:v>1</x:v>
      </x:c>
      <x:c r="P41" s="14" t="str">
        <x:v>2604.13436</x:v>
      </x:c>
      <x:c r="Q41" s="14" t="str">
        <x:v>Coherent Rydberg excitation of single atoms using a pulsed fiber amplifier</x:v>
      </x:c>
      <x:c r="R41" s="14" t="str">
        <x:v>Resolve affiliation before promotion</x:v>
      </x:c>
      <x:c r="S41" s="14" t="str">
        <x:v>B</x:v>
      </x:c>
      <x:c r="T41" s="14" t="str">
        <x:v>Highly relevant Rydberg-excitation hardware.</x:v>
      </x:c>
    </x:row>
    <x:row r="42" ht="42" customHeight="1">
      <x:c r="A42" s="14" t="str">
        <x:v>PI-0041</x:v>
      </x:c>
      <x:c r="B42" s="14" t="str">
        <x:v>Alessio Lerose</x:v>
      </x:c>
      <x:c r="C42" s="14" t="str">
        <x:v>Institution pending</x:v>
      </x:c>
      <x:c r="D42" s="14"/>
      <x:c r="E42" s="14"/>
      <x:c r="F42" s="14"/>
      <x:c r="G42" s="14" t="str">
        <x:v>academic/theory</x:v>
      </x:c>
      <x:c r="H42" s="14"/>
      <x:c r="I42" s="14" t="n">
        <x:v>1</x:v>
      </x:c>
      <x:c r="J42" s="14" t="n">
        <x:v>0</x:v>
      </x:c>
      <x:c r="K42" s="14" t="n">
        <x:v>0</x:v>
      </x:c>
      <x:c r="L42" s="14" t="n">
        <x:v>1</x:v>
      </x:c>
      <x:c r="M42" s="14" t="n">
        <x:v>0</x:v>
      </x:c>
      <x:c r="N42" s="14" t="n">
        <x:v>1</x:v>
      </x:c>
      <x:c r="O42" s="14" t="n">
        <x:v>0</x:v>
      </x:c>
      <x:c r="P42" s="14" t="str">
        <x:v>2409.14544</x:v>
      </x:c>
      <x:c r="Q42" s="14" t="str">
        <x:v>Simulating Schwinger model dynamics with quasi-one-dimensional qubit arrays</x:v>
      </x:c>
      <x:c r="R42" s="14" t="str">
        <x:v>Keep theory candidate</x:v>
      </x:c>
      <x:c r="S42" s="14" t="str">
        <x:v>B/C</x:v>
      </x:c>
      <x:c r="T42" s="14" t="str">
        <x:v>Dual-species Rydberg-array implementation discussed.</x:v>
      </x:c>
    </x:row>
    <x:row r="43" ht="42" customHeight="1">
      <x:c r="A43" s="14" t="str">
        <x:v>PI-0042</x:v>
      </x:c>
      <x:c r="B43" s="14" t="str">
        <x:v>X. Q. Shao</x:v>
      </x:c>
      <x:c r="C43" s="14" t="str">
        <x:v>Institution pending</x:v>
      </x:c>
      <x:c r="D43" s="14"/>
      <x:c r="E43" s="14"/>
      <x:c r="F43" s="14"/>
      <x:c r="G43" s="14" t="str">
        <x:v>academic/theory</x:v>
      </x:c>
      <x:c r="H43" s="14"/>
      <x:c r="I43" s="14" t="n">
        <x:v>1</x:v>
      </x:c>
      <x:c r="J43" s="14" t="n">
        <x:v>0</x:v>
      </x:c>
      <x:c r="K43" s="14" t="n">
        <x:v>0</x:v>
      </x:c>
      <x:c r="L43" s="14" t="n">
        <x:v>1</x:v>
      </x:c>
      <x:c r="M43" s="14" t="n">
        <x:v>0</x:v>
      </x:c>
      <x:c r="N43" s="14" t="n">
        <x:v>1</x:v>
      </x:c>
      <x:c r="O43" s="14" t="n">
        <x:v>0</x:v>
      </x:c>
      <x:c r="P43" s="14" t="str">
        <x:v>2405.19564</x:v>
      </x:c>
      <x:c r="Q43" s="14" t="str">
        <x:v>Parity-controlled gate in a two-dimensional neutral-atom array</x:v>
      </x:c>
      <x:c r="R43" s="14" t="str">
        <x:v>Keep theory/QEC candidate</x:v>
      </x:c>
      <x:c r="S43" s="14" t="str">
        <x:v>C/B</x:v>
      </x:c>
      <x:c r="T43" s="14" t="str">
        <x:v>Affiliation cleanup needed.</x:v>
      </x:c>
    </x:row>
    <x:row r="44" ht="42" customHeight="1">
      <x:c r="A44" s="14" t="str">
        <x:v>PI-0043</x:v>
      </x:c>
      <x:c r="B44" s="14" t="str">
        <x:v>Wei Zhang</x:v>
      </x:c>
      <x:c r="C44" s="14" t="str">
        <x:v>Renmin University of China / BAQIS</x:v>
      </x:c>
      <x:c r="D44" s="14"/>
      <x:c r="E44" s="14" t="str">
        <x:v>Beijing</x:v>
      </x:c>
      <x:c r="F44" s="14" t="str">
        <x:v>China</x:v>
      </x:c>
      <x:c r="G44" s="14" t="str">
        <x:v>academic/experimental</x:v>
      </x:c>
      <x:c r="H44" s="14" t="str">
        <x:v>E-058</x:v>
      </x:c>
      <x:c r="I44" s="14" t="n">
        <x:v>0</x:v>
      </x:c>
      <x:c r="J44" s="14" t="n">
        <x:v>0</x:v>
      </x:c>
      <x:c r="K44" s="14" t="n">
        <x:v>1</x:v>
      </x:c>
      <x:c r="L44" s="14" t="n">
        <x:v>1</x:v>
      </x:c>
      <x:c r="M44" s="14" t="n">
        <x:v>0</x:v>
      </x:c>
      <x:c r="N44" s="14" t="n">
        <x:v>0</x:v>
      </x:c>
      <x:c r="O44" s="14" t="n">
        <x:v>1</x:v>
      </x:c>
      <x:c r="P44" s="14" t="str">
        <x:v>2604.12204</x:v>
      </x:c>
      <x:c r="Q44" s="14" t="str">
        <x:v>A compact setup for 87Rb optical tweezer arrays</x:v>
      </x:c>
      <x:c r="R44" s="14" t="str">
        <x:v>Possible merge with BAQIS/Renmin row</x:v>
      </x:c>
      <x:c r="S44" s="14" t="str">
        <x:v>C/B</x:v>
      </x:c>
      <x:c r="T44" s="14" t="str">
        <x:v>Tweezer setup; Rydberg not central.</x:v>
      </x:c>
    </x:row>
    <x:row r="45" ht="42" customHeight="1">
      <x:c r="A45" s="14" t="str">
        <x:v>PI-0044</x:v>
      </x:c>
      <x:c r="B45" s="14" t="str">
        <x:v>Jian-Wei Pan</x:v>
      </x:c>
      <x:c r="C45" s="14" t="str">
        <x:v>University of Science and Technology of China</x:v>
      </x:c>
      <x:c r="D45" s="14"/>
      <x:c r="E45" s="14" t="str">
        <x:v>Hefei</x:v>
      </x:c>
      <x:c r="F45" s="14" t="str">
        <x:v>China</x:v>
      </x:c>
      <x:c r="G45" s="14" t="str">
        <x:v>academic/mixed</x:v>
      </x:c>
      <x:c r="H45" s="14" t="str">
        <x:v>E-036</x:v>
      </x:c>
      <x:c r="I45" s="14" t="n">
        <x:v>1</x:v>
      </x:c>
      <x:c r="J45" s="14" t="n">
        <x:v>0</x:v>
      </x:c>
      <x:c r="K45" s="14" t="n">
        <x:v>0</x:v>
      </x:c>
      <x:c r="L45" s="14" t="n">
        <x:v>1</x:v>
      </x:c>
      <x:c r="M45" s="14" t="n">
        <x:v>0</x:v>
      </x:c>
      <x:c r="N45" s="14" t="n">
        <x:v>0</x:v>
      </x:c>
      <x:c r="O45" s="14" t="n">
        <x:v>1</x:v>
      </x:c>
      <x:c r="P45" s="14" t="str">
        <x:v>2412.14647</x:v>
      </x:c>
      <x:c r="Q45" s="14" t="str">
        <x:v>AI-Enabled Rapid Assembly of Thousands of Defect-Free Neutral Atom Arrays</x:v>
      </x:c>
      <x:c r="R45" s="14" t="str">
        <x:v>Matched to USTC/Pan ecosystem</x:v>
      </x:c>
      <x:c r="S45" s="14" t="str">
        <x:v>B</x:v>
      </x:c>
      <x:c r="T45" s="14" t="str">
        <x:v>Platform scaling; not direct Rydberg paper.</x:v>
      </x:c>
    </x:row>
    <x:row r="46" ht="42" customHeight="1">
      <x:c r="A46" s="14" t="str">
        <x:v>PI-0045</x:v>
      </x:c>
      <x:c r="B46" s="14" t="str">
        <x:v>Ming-Sheng Zhan</x:v>
      </x:c>
      <x:c r="C46" s="14" t="str">
        <x:v>Institution pending</x:v>
      </x:c>
      <x:c r="D46" s="14"/>
      <x:c r="E46" s="14"/>
      <x:c r="F46" s="14"/>
      <x:c r="G46" s="14" t="str">
        <x:v>academic/experimental</x:v>
      </x:c>
      <x:c r="H46" s="14"/>
      <x:c r="I46" s="14" t="n">
        <x:v>0</x:v>
      </x:c>
      <x:c r="J46" s="14" t="n">
        <x:v>1</x:v>
      </x:c>
      <x:c r="K46" s="14" t="n">
        <x:v>0</x:v>
      </x:c>
      <x:c r="L46" s="14" t="n">
        <x:v>1</x:v>
      </x:c>
      <x:c r="M46" s="14" t="n">
        <x:v>0</x:v>
      </x:c>
      <x:c r="N46" s="14" t="n">
        <x:v>0</x:v>
      </x:c>
      <x:c r="O46" s="14" t="n">
        <x:v>1</x:v>
      </x:c>
      <x:c r="P46" s="14" t="str">
        <x:v>2501.02248</x:v>
      </x:c>
      <x:c r="Q46" s="14" t="str">
        <x:v>Enhanced Atom-by-Atom Assembly of Defect-Free Two-Dimensional Mixed-Species Atomic Arrays</x:v>
      </x:c>
      <x:c r="R46" s="14" t="str">
        <x:v>Resolve affiliation before promotion</x:v>
      </x:c>
      <x:c r="S46" s="14" t="str">
        <x:v>B/C</x:v>
      </x:c>
      <x:c r="T46" s="14" t="str">
        <x:v>Mixed-species array infrastructure.</x:v>
      </x:c>
    </x:row>
    <x:row r="47" ht="42" customHeight="1">
      <x:c r="A47" s="14" t="str">
        <x:v>PI-0046</x:v>
      </x:c>
      <x:c r="B47" s="14" t="str">
        <x:v>Mark Saffman</x:v>
      </x:c>
      <x:c r="C47" s="14" t="str">
        <x:v>University of Wisconsin-Madison</x:v>
      </x:c>
      <x:c r="D47" s="14"/>
      <x:c r="E47" s="14" t="str">
        <x:v>Madison</x:v>
      </x:c>
      <x:c r="F47" s="14" t="str">
        <x:v>United States</x:v>
      </x:c>
      <x:c r="G47" s="14" t="str">
        <x:v>academic/mixed</x:v>
      </x:c>
      <x:c r="H47" s="14" t="str">
        <x:v>E-005</x:v>
      </x:c>
      <x:c r="I47" s="14" t="n">
        <x:v>1</x:v>
      </x:c>
      <x:c r="J47" s="14" t="n">
        <x:v>0</x:v>
      </x:c>
      <x:c r="K47" s="14" t="n">
        <x:v>0</x:v>
      </x:c>
      <x:c r="L47" s="14" t="n">
        <x:v>1</x:v>
      </x:c>
      <x:c r="M47" s="14" t="n">
        <x:v>0</x:v>
      </x:c>
      <x:c r="N47" s="14" t="n">
        <x:v>0</x:v>
      </x:c>
      <x:c r="O47" s="14" t="n">
        <x:v>1</x:v>
      </x:c>
      <x:c r="P47" s="14" t="str">
        <x:v>2412.20261</x:v>
      </x:c>
      <x:c r="Q47" s="14" t="str">
        <x:v>Interleaved dual-species arrays of single atoms using a passive optical element and one trapping laser</x:v>
      </x:c>
      <x:c r="R47" s="14" t="str">
        <x:v>Matched to Saffman ecosystem</x:v>
      </x:c>
      <x:c r="S47" s="14" t="str">
        <x:v>B</x:v>
      </x:c>
      <x:c r="T47" s="14" t="str">
        <x:v>Dual-species infrastructure.</x:v>
      </x:c>
    </x:row>
    <x:row r="48" ht="42" customHeight="1">
      <x:c r="A48" s="14" t="str">
        <x:v>PI-0047</x:v>
      </x:c>
      <x:c r="B48" s="14" t="str">
        <x:v>Francesca Ferlaino</x:v>
      </x:c>
      <x:c r="C48" s="14" t="str">
        <x:v>University of Innsbruck / IQOQI Innsbruck</x:v>
      </x:c>
      <x:c r="D48" s="14"/>
      <x:c r="E48" s="14" t="str">
        <x:v>Innsbruck</x:v>
      </x:c>
      <x:c r="F48" s="14" t="str">
        <x:v>Austria</x:v>
      </x:c>
      <x:c r="G48" s="14" t="str">
        <x:v>academic/adjacent</x:v>
      </x:c>
      <x:c r="H48" s="14"/>
      <x:c r="I48" s="14" t="n">
        <x:v>1</x:v>
      </x:c>
      <x:c r="J48" s="14" t="n">
        <x:v>0</x:v>
      </x:c>
      <x:c r="K48" s="14" t="n">
        <x:v>0</x:v>
      </x:c>
      <x:c r="L48" s="14" t="n">
        <x:v>1</x:v>
      </x:c>
      <x:c r="M48" s="14" t="n">
        <x:v>0</x:v>
      </x:c>
      <x:c r="N48" s="14" t="n">
        <x:v>0</x:v>
      </x:c>
      <x:c r="O48" s="14" t="n">
        <x:v>1</x:v>
      </x:c>
      <x:c r="P48" s="14" t="str">
        <x:v>2406.16146</x:v>
      </x:c>
      <x:c r="Q48" s="14" t="str">
        <x:v>Optical Tweezer Arrays of Erbium Atoms</x:v>
      </x:c>
      <x:c r="R48" s="14" t="str">
        <x:v>Keep adjacent only</x:v>
      </x:c>
      <x:c r="S48" s="14" t="str">
        <x:v>C</x:v>
      </x:c>
      <x:c r="T48" s="14" t="str">
        <x:v>Adjacent tweezer platform outside core Rydberg-array target.</x:v>
      </x:c>
    </x:row>
    <x:row r="49">
      <x:c r="A49" s="14" t="str">
        <x:v>PI-0048</x:v>
      </x:c>
      <x:c r="B49" s="14" t="str">
        <x:v>Jing Qian</x:v>
      </x:c>
      <x:c r="C49" s="14" t="str">
        <x:v>East China Normal University</x:v>
      </x:c>
      <x:c r="D49" s="14"/>
      <x:c r="E49" s="14" t="str">
        <x:v>Shanghai</x:v>
      </x:c>
      <x:c r="F49" s="14" t="str">
        <x:v>China</x:v>
      </x:c>
      <x:c r="G49" s="14" t="str">
        <x:v>academic/theory</x:v>
      </x:c>
      <x:c r="H49" s="14"/>
      <x:c r="I49" s="14" t="n">
        <x:v>0</x:v>
      </x:c>
      <x:c r="J49" s="14" t="n">
        <x:v>0</x:v>
      </x:c>
      <x:c r="K49" s="14" t="n">
        <x:v>1</x:v>
      </x:c>
      <x:c r="L49" s="14" t="n">
        <x:v>1</x:v>
      </x:c>
      <x:c r="M49" s="14" t="n">
        <x:v>0</x:v>
      </x:c>
      <x:c r="N49" s="14" t="n">
        <x:v>1</x:v>
      </x:c>
      <x:c r="O49" s="14" t="n">
        <x:v>0</x:v>
      </x:c>
      <x:c r="P49" s="14" t="str">
        <x:v>2605.04628</x:v>
      </x:c>
      <x:c r="Q49" s="14" t="str">
        <x:v>Intelligent Optimal Control of Rydberg Gates with Incremental-Update Deep Reinforcement Learning</x:v>
      </x:c>
      <x:c r="R49" s="14" t="str">
        <x:v>Keep candidate; affiliation cleanup needed</x:v>
      </x:c>
      <x:c r="S49" s="14" t="str">
        <x:v>C/B</x:v>
      </x:c>
      <x:c r="T49" s="14" t="str">
        <x:v>Control-theory node; not yet map-promoted.</x:v>
      </x:c>
    </x:row>
    <x:row r="50">
      <x:c r="A50" s="14" t="str">
        <x:v>PI-0049</x:v>
      </x:c>
      <x:c r="B50" s="14" t="str">
        <x:v>Qi-Yu Liang</x:v>
      </x:c>
      <x:c r="C50" s="14" t="str">
        <x:v>Purdue University</x:v>
      </x:c>
      <x:c r="D50" s="14"/>
      <x:c r="E50" s="14" t="str">
        <x:v>West Lafayette</x:v>
      </x:c>
      <x:c r="F50" s="14" t="str">
        <x:v>United States</x:v>
      </x:c>
      <x:c r="G50" s="14" t="str">
        <x:v>academic/experimental</x:v>
      </x:c>
      <x:c r="H50" s="14"/>
      <x:c r="I50" s="14" t="n">
        <x:v>1</x:v>
      </x:c>
      <x:c r="J50" s="14" t="n">
        <x:v>0</x:v>
      </x:c>
      <x:c r="K50" s="14" t="n">
        <x:v>0</x:v>
      </x:c>
      <x:c r="L50" s="14" t="n">
        <x:v>1</x:v>
      </x:c>
      <x:c r="M50" s="14" t="n">
        <x:v>0</x:v>
      </x:c>
      <x:c r="N50" s="14" t="n">
        <x:v>0</x:v>
      </x:c>
      <x:c r="O50" s="14" t="n">
        <x:v>1</x:v>
      </x:c>
      <x:c r="P50" s="14" t="str">
        <x:v>2409.11865</x:v>
      </x:c>
      <x:c r="Q50" s="14" t="str">
        <x:v>Electric field control for experiments with atoms in Rydberg states</x:v>
      </x:c>
      <x:c r="R50" s="14" t="str">
        <x:v>Keep technical/hardware candidate</x:v>
      </x:c>
      <x:c r="S50" s="14" t="str">
        <x:v>B/C</x:v>
      </x:c>
      <x:c r="T50" s="14" t="str">
        <x:v>Technical Rydberg infrastructure node.</x:v>
      </x:c>
    </x:row>
    <x:row r="51">
      <x:c r="A51" s="14" t="str">
        <x:v>PI-0050</x:v>
      </x:c>
      <x:c r="B51" s="14" t="str">
        <x:v>Jonathan D. Hood</x:v>
      </x:c>
      <x:c r="C51" s="14" t="str">
        <x:v>Purdue University</x:v>
      </x:c>
      <x:c r="D51" s="14"/>
      <x:c r="E51" s="14" t="str">
        <x:v>West Lafayette</x:v>
      </x:c>
      <x:c r="F51" s="14" t="str">
        <x:v>United States</x:v>
      </x:c>
      <x:c r="G51" s="14" t="str">
        <x:v>academic/theory</x:v>
      </x:c>
      <x:c r="H51" s="14"/>
      <x:c r="I51" s="14" t="n">
        <x:v>1</x:v>
      </x:c>
      <x:c r="J51" s="14" t="n">
        <x:v>0</x:v>
      </x:c>
      <x:c r="K51" s="14" t="n">
        <x:v>0</x:v>
      </x:c>
      <x:c r="L51" s="14" t="n">
        <x:v>1</x:v>
      </x:c>
      <x:c r="M51" s="14" t="n">
        <x:v>0</x:v>
      </x:c>
      <x:c r="N51" s="14" t="n">
        <x:v>1</x:v>
      </x:c>
      <x:c r="O51" s="14" t="n">
        <x:v>0</x:v>
      </x:c>
      <x:c r="P51" s="14" t="str">
        <x:v>2406.19153</x:v>
      </x:c>
      <x:c r="Q51" s="14" t="str">
        <x:v>A Generalized Theory for Optical Cooling of a Trapped Atom with Spin</x:v>
      </x:c>
      <x:c r="R51" s="14" t="str">
        <x:v>Keep enabling-theory candidate</x:v>
      </x:c>
      <x:c r="S51" s="14" t="str">
        <x:v>C/B</x:v>
      </x:c>
      <x:c r="T51" s="14" t="str">
        <x:v>Cooling theory for neutral-atom tweezers relevant to Rydberg/molecular gates.</x:v>
      </x:c>
    </x:row>
    <x:row r="52">
      <x:c r="A52" s="14" t="str">
        <x:v>PI-0051</x:v>
      </x:c>
      <x:c r="B52" s="14" t="str">
        <x:v>Ludwig Mathey</x:v>
      </x:c>
      <x:c r="C52" s="14" t="str">
        <x:v>University of Hamburg</x:v>
      </x:c>
      <x:c r="D52" s="14"/>
      <x:c r="E52" s="14" t="str">
        <x:v>Hamburg</x:v>
      </x:c>
      <x:c r="F52" s="14" t="str">
        <x:v>Germany</x:v>
      </x:c>
      <x:c r="G52" s="14" t="str">
        <x:v>academic/theory</x:v>
      </x:c>
      <x:c r="H52" s="14"/>
      <x:c r="I52" s="14" t="n">
        <x:v>0</x:v>
      </x:c>
      <x:c r="J52" s="14" t="n">
        <x:v>1</x:v>
      </x:c>
      <x:c r="K52" s="14" t="n">
        <x:v>0</x:v>
      </x:c>
      <x:c r="L52" s="14" t="n">
        <x:v>1</x:v>
      </x:c>
      <x:c r="M52" s="14" t="n">
        <x:v>0</x:v>
      </x:c>
      <x:c r="N52" s="14" t="n">
        <x:v>1</x:v>
      </x:c>
      <x:c r="O52" s="14" t="n">
        <x:v>0</x:v>
      </x:c>
      <x:c r="P52" s="14" t="str">
        <x:v>2506.22669</x:v>
      </x:c>
      <x:c r="Q52" s="14" t="str">
        <x:v>Lamb-Dicke Dynamics of Interacting Rydberg Atoms Coupled to the Motion of an Optical Tweezer Array</x:v>
      </x:c>
      <x:c r="R52" s="14" t="str">
        <x:v>Keep theory candidate</x:v>
      </x:c>
      <x:c r="S52" s="14" t="str">
        <x:v>B/C</x:v>
      </x:c>
      <x:c r="T52" s="14" t="str">
        <x:v>Spin-motion/motional-effects theory node.</x:v>
      </x:c>
    </x:row>
    <x:row r="53">
      <x:c r="A53" s="14" t="str">
        <x:v>PI-0052</x:v>
      </x:c>
      <x:c r="B53" s="14" t="str">
        <x:v>Cristiane Morais Smith</x:v>
      </x:c>
      <x:c r="C53" s="14" t="str">
        <x:v>Utrecht University</x:v>
      </x:c>
      <x:c r="D53" s="14"/>
      <x:c r="E53" s="14" t="str">
        <x:v>Utrecht</x:v>
      </x:c>
      <x:c r="F53" s="14" t="str">
        <x:v>Netherlands</x:v>
      </x:c>
      <x:c r="G53" s="14" t="str">
        <x:v>academic/mixed</x:v>
      </x:c>
      <x:c r="H53" s="14"/>
      <x:c r="I53" s="14" t="n">
        <x:v>0</x:v>
      </x:c>
      <x:c r="J53" s="14" t="n">
        <x:v>1</x:v>
      </x:c>
      <x:c r="K53" s="14" t="n">
        <x:v>0</x:v>
      </x:c>
      <x:c r="L53" s="14" t="n">
        <x:v>1</x:v>
      </x:c>
      <x:c r="M53" s="14" t="n">
        <x:v>1</x:v>
      </x:c>
      <x:c r="N53" s="14" t="n">
        <x:v>1</x:v>
      </x:c>
      <x:c r="O53" s="14" t="n">
        <x:v>1</x:v>
      </x:c>
      <x:c r="P53" s="14" t="str">
        <x:v>2509.03514</x:v>
      </x:c>
      <x:c r="Q53" s="14" t="str">
        <x:v>Control of single spin-flips in a Rydberg atomic fractal</x:v>
      </x:c>
      <x:c r="R53" s="14" t="str">
        <x:v>Manual split needed</x:v>
      </x:c>
      <x:c r="S53" s="14" t="str">
        <x:v>B/C</x:v>
      </x:c>
      <x:c r="T53" s="14" t="str">
        <x:v>Paper mixes theory and experiment; identify experimental Sr platform separately.</x:v>
      </x:c>
    </x:row>
    <x:row r="54">
      <x:c r="A54" s="14" t="str">
        <x:v>PI-0053</x:v>
      </x:c>
      <x:c r="B54" s="14" t="str">
        <x:v>Natalia Chepiga</x:v>
      </x:c>
      <x:c r="C54" s="14" t="str">
        <x:v>Delft University of Technology</x:v>
      </x:c>
      <x:c r="D54" s="14"/>
      <x:c r="E54" s="14" t="str">
        <x:v>Delft</x:v>
      </x:c>
      <x:c r="F54" s="14" t="str">
        <x:v>Netherlands</x:v>
      </x:c>
      <x:c r="G54" s="14" t="str">
        <x:v>academic/theory</x:v>
      </x:c>
      <x:c r="H54" s="14"/>
      <x:c r="I54" s="14" t="n">
        <x:v>0</x:v>
      </x:c>
      <x:c r="J54" s="14" t="n">
        <x:v>1</x:v>
      </x:c>
      <x:c r="K54" s="14" t="n">
        <x:v>0</x:v>
      </x:c>
      <x:c r="L54" s="14" t="n">
        <x:v>1</x:v>
      </x:c>
      <x:c r="M54" s="14" t="n">
        <x:v>0</x:v>
      </x:c>
      <x:c r="N54" s="14" t="n">
        <x:v>1</x:v>
      </x:c>
      <x:c r="O54" s="14" t="n">
        <x:v>0</x:v>
      </x:c>
      <x:c r="P54" s="14" t="str">
        <x:v>2506.11985</x:v>
      </x:c>
      <x:c r="Q54" s="14" t="str">
        <x:v>Infinite randomness criticality and localization of the floating phase in arrays of Rydberg atoms trapped with non-perfect tweezers</x:v>
      </x:c>
      <x:c r="R54" s="14" t="str">
        <x:v>Promote candidate after one more paper/citation check</x:v>
      </x:c>
      <x:c r="S54" s="14" t="str">
        <x:v>B</x:v>
      </x:c>
      <x:c r="T54" s="14" t="str">
        <x:v>Strong theory node for imperfections/disorder.</x:v>
      </x:c>
    </x:row>
    <x:row r="55">
      <x:c r="A55" s="14" t="str">
        <x:v>PI-0054</x:v>
      </x:c>
      <x:c r="B55" s="14" t="str">
        <x:v>Stefano Pilati</x:v>
      </x:c>
      <x:c r="C55" s="14" t="str">
        <x:v>Institution pending</x:v>
      </x:c>
      <x:c r="D55" s="14"/>
      <x:c r="E55" s="14"/>
      <x:c r="F55" s="14"/>
      <x:c r="G55" s="14" t="str">
        <x:v>academic/theory</x:v>
      </x:c>
      <x:c r="H55" s="14"/>
      <x:c r="I55" s="14" t="n">
        <x:v>0</x:v>
      </x:c>
      <x:c r="J55" s="14" t="n">
        <x:v>1</x:v>
      </x:c>
      <x:c r="K55" s="14" t="n">
        <x:v>0</x:v>
      </x:c>
      <x:c r="L55" s="14" t="n">
        <x:v>1</x:v>
      </x:c>
      <x:c r="M55" s="14" t="n">
        <x:v>0</x:v>
      </x:c>
      <x:c r="N55" s="14" t="n">
        <x:v>1</x:v>
      </x:c>
      <x:c r="O55" s="14" t="n">
        <x:v>0</x:v>
      </x:c>
      <x:c r="P55" s="14" t="str">
        <x:v>2505.05117</x:v>
      </x:c>
      <x:c r="Q55" s="14" t="str">
        <x:v>Spin-glass quantum phase transition in amorphous arrays of Rydberg atoms</x:v>
      </x:c>
      <x:c r="R55" s="14" t="str">
        <x:v>Resolve affiliation before action</x:v>
      </x:c>
      <x:c r="S55" s="14" t="str">
        <x:v>C/B</x:v>
      </x:c>
      <x:c r="T55" s="14" t="str">
        <x:v>Potential amorphous-array theory node; needs cleanup.</x:v>
      </x:c>
    </x:row>
    <x:row r="56">
      <x:c r="A56" s="14" t="str">
        <x:v>PI-0055</x:v>
      </x:c>
      <x:c r="B56" s="14" t="str">
        <x:v>Emanuele Distante</x:v>
      </x:c>
      <x:c r="C56" s="14" t="str">
        <x:v>Max Planck Institute of Quantum Optics</x:v>
      </x:c>
      <x:c r="D56" s="14"/>
      <x:c r="E56" s="14" t="str">
        <x:v>Garching</x:v>
      </x:c>
      <x:c r="F56" s="14" t="str">
        <x:v>Germany</x:v>
      </x:c>
      <x:c r="G56" s="14" t="str">
        <x:v>academic/experimental</x:v>
      </x:c>
      <x:c r="H56" s="14"/>
      <x:c r="I56" s="14" t="n">
        <x:v>0</x:v>
      </x:c>
      <x:c r="J56" s="14" t="n">
        <x:v>1</x:v>
      </x:c>
      <x:c r="K56" s="14" t="n">
        <x:v>0</x:v>
      </x:c>
      <x:c r="L56" s="14" t="n">
        <x:v>1</x:v>
      </x:c>
      <x:c r="M56" s="14" t="n">
        <x:v>0</x:v>
      </x:c>
      <x:c r="N56" s="14" t="n">
        <x:v>0</x:v>
      </x:c>
      <x:c r="O56" s="14" t="n">
        <x:v>1</x:v>
      </x:c>
      <x:c r="P56" s="14" t="str">
        <x:v>2502.13560</x:v>
      </x:c>
      <x:c r="Q56" s="14" t="str">
        <x:v>Tweezer-assisted subwavelength positioning of atomic arrays in an optical cavity</x:v>
      </x:c>
      <x:c r="R56" s="14" t="str">
        <x:v>Keep adjacent/interface candidate</x:v>
      </x:c>
      <x:c r="S56" s="14" t="str">
        <x:v>C</x:v>
      </x:c>
      <x:c r="T56" s="14" t="str">
        <x:v>Cavity/interface adjacent layer, not Rydberg-core.</x:v>
      </x:c>
    </x:row>
    <x:row r="57">
      <x:c r="A57" t="str">
        <x:v>PI-0056</x:v>
      </x:c>
      <x:c r="B57" t="str">
        <x:v>Lode Pollet</x:v>
      </x:c>
      <x:c r="C57" t="str">
        <x:v>Institution pending</x:v>
      </x:c>
      <x:c r="D57"/>
      <x:c r="E57"/>
      <x:c r="F57"/>
      <x:c r="G57" t="str">
        <x:v>academic/theory</x:v>
      </x:c>
      <x:c r="H57"/>
      <x:c r="I57" t="n">
        <x:v>1</x:v>
      </x:c>
      <x:c r="J57" t="n">
        <x:v>0</x:v>
      </x:c>
      <x:c r="K57" t="n">
        <x:v>0</x:v>
      </x:c>
      <x:c r="L57" t="n">
        <x:v>1</x:v>
      </x:c>
      <x:c r="M57" t="n">
        <x:v>0</x:v>
      </x:c>
      <x:c r="N57" t="n">
        <x:v>1</x:v>
      </x:c>
      <x:c r="O57" t="n">
        <x:v>0</x:v>
      </x:c>
      <x:c r="P57" t="str">
        <x:v>2407.12752</x:v>
      </x:c>
      <x:c r="Q57" t="str">
        <x:v>Supersolidity in Rydberg tweezer arrays</x:v>
      </x:c>
      <x:c r="R57" t="str">
        <x:v>Resolve affiliation; likely B theory/mixed candidate</x:v>
      </x:c>
      <x:c r="S57" t="str">
        <x:v>B/C</x:v>
      </x:c>
      <x:c r="T57" t="str">
        <x:v>Direct Rydberg-tweezer theory paper; coauthors connect to experimental ecosystem.</x:v>
      </x:c>
    </x:row>
    <x:row r="58">
      <x:c r="A58" t="str">
        <x:v>PI-0057</x:v>
      </x:c>
      <x:c r="B58" t="str">
        <x:v>Amar Vutha</x:v>
      </x:c>
      <x:c r="C58" t="str">
        <x:v>Institution pending</x:v>
      </x:c>
      <x:c r="D58"/>
      <x:c r="E58"/>
      <x:c r="F58"/>
      <x:c r="G58" t="str">
        <x:v>academic/theory/metrology</x:v>
      </x:c>
      <x:c r="H58"/>
      <x:c r="I58" t="n">
        <x:v>0</x:v>
      </x:c>
      <x:c r="J58" t="n">
        <x:v>1</x:v>
      </x:c>
      <x:c r="K58" t="n">
        <x:v>0</x:v>
      </x:c>
      <x:c r="L58" t="n">
        <x:v>1</x:v>
      </x:c>
      <x:c r="M58" t="n">
        <x:v>0</x:v>
      </x:c>
      <x:c r="N58" t="n">
        <x:v>1</x:v>
      </x:c>
      <x:c r="O58" t="n">
        <x:v>0</x:v>
      </x:c>
      <x:c r="P58" t="str">
        <x:v>2507.12860</x:v>
      </x:c>
      <x:c r="Q58" t="str">
        <x:v>Detecting dark matter using optically trapped Rydberg atom tweezer arrays</x:v>
      </x:c>
      <x:c r="R58" t="str">
        <x:v>Keep sensing-adjacent candidate</x:v>
      </x:c>
      <x:c r="S58" t="str">
        <x:v>C/B</x:v>
      </x:c>
      <x:c r="T58" t="str">
        <x:v>Interesting metrology boundary; resolve affiliation and scope.</x:v>
      </x:c>
    </x:row>
    <x:row r="59">
      <x:c r="A59" t="str">
        <x:v>PI-0058</x:v>
      </x:c>
      <x:c r="B59" t="str">
        <x:v>Vito W. Scarola</x:v>
      </x:c>
      <x:c r="C59" t="str">
        <x:v>Virginia Tech</x:v>
      </x:c>
      <x:c r="D59"/>
      <x:c r="E59" t="str">
        <x:v>Blacksburg</x:v>
      </x:c>
      <x:c r="F59" t="str">
        <x:v>United States</x:v>
      </x:c>
      <x:c r="G59" t="str">
        <x:v>academic/theory</x:v>
      </x:c>
      <x:c r="H59"/>
      <x:c r="I59" t="n">
        <x:v>1</x:v>
      </x:c>
      <x:c r="J59" t="n">
        <x:v>0</x:v>
      </x:c>
      <x:c r="K59" t="n">
        <x:v>0</x:v>
      </x:c>
      <x:c r="L59" t="n">
        <x:v>1</x:v>
      </x:c>
      <x:c r="M59" t="n">
        <x:v>0</x:v>
      </x:c>
      <x:c r="N59" t="n">
        <x:v>1</x:v>
      </x:c>
      <x:c r="O59" t="n">
        <x:v>0</x:v>
      </x:c>
      <x:c r="P59" t="str">
        <x:v>2405.21073</x:v>
      </x:c>
      <x:c r="Q59" t="str">
        <x:v>Toward Quantum Analogue Simulation of Many-Body Supersymmetry with Rydberg Atom Arrays</x:v>
      </x:c>
      <x:c r="R59" t="str">
        <x:v>Promote after affiliation/source QC</x:v>
      </x:c>
      <x:c r="S59" t="str">
        <x:v>B</x:v>
      </x:c>
      <x:c r="T59" t="str">
        <x:v>Theory node for analog simulation with Rydberg tweezer arrays.</x:v>
      </x:c>
    </x:row>
    <x:row r="60">
      <x:c r="A60" t="str">
        <x:v>PI-0059</x:v>
      </x:c>
      <x:c r="B60" t="str">
        <x:v>Seiji Yunoki</x:v>
      </x:c>
      <x:c r="C60" t="str">
        <x:v>Institution pending</x:v>
      </x:c>
      <x:c r="D60"/>
      <x:c r="E60"/>
      <x:c r="F60"/>
      <x:c r="G60" t="str">
        <x:v>academic/theory/control</x:v>
      </x:c>
      <x:c r="H60"/>
      <x:c r="I60" t="n">
        <x:v>0</x:v>
      </x:c>
      <x:c r="J60" t="n">
        <x:v>1</x:v>
      </x:c>
      <x:c r="K60" t="n">
        <x:v>0</x:v>
      </x:c>
      <x:c r="L60" t="n">
        <x:v>1</x:v>
      </x:c>
      <x:c r="M60" t="n">
        <x:v>0</x:v>
      </x:c>
      <x:c r="N60" t="n">
        <x:v>1</x:v>
      </x:c>
      <x:c r="O60" t="n">
        <x:v>0</x:v>
      </x:c>
      <x:c r="P60" t="str">
        <x:v>2507.19153</x:v>
      </x:c>
      <x:c r="Q60" t="str">
        <x:v>Pulse-based optimization of quantum many-body states with Rydberg atoms in optical tweezer arrays</x:v>
      </x:c>
      <x:c r="R60" t="str">
        <x:v>Resolve affiliation before action</x:v>
      </x:c>
      <x:c r="S60" t="str">
        <x:v>B/C</x:v>
      </x:c>
      <x:c r="T60" t="str">
        <x:v>Control/algorithm candidate.</x:v>
      </x:c>
    </x:row>
    <x:row r="61">
      <x:c r="A61" t="str">
        <x:v>PI-0060</x:v>
      </x:c>
      <x:c r="B61" t="str">
        <x:v>Sebastian Hofferberth</x:v>
      </x:c>
      <x:c r="C61" t="str">
        <x:v>University of Bonn</x:v>
      </x:c>
      <x:c r="D61"/>
      <x:c r="E61" t="str">
        <x:v>Bonn</x:v>
      </x:c>
      <x:c r="F61" t="str">
        <x:v>Germany</x:v>
      </x:c>
      <x:c r="G61" t="str">
        <x:v>academic/experimental</x:v>
      </x:c>
      <x:c r="H61"/>
      <x:c r="I61" t="n">
        <x:v>1</x:v>
      </x:c>
      <x:c r="J61" t="n">
        <x:v>0</x:v>
      </x:c>
      <x:c r="K61" t="n">
        <x:v>0</x:v>
      </x:c>
      <x:c r="L61" t="n">
        <x:v>1</x:v>
      </x:c>
      <x:c r="M61" t="n">
        <x:v>0</x:v>
      </x:c>
      <x:c r="N61" t="n">
        <x:v>0</x:v>
      </x:c>
      <x:c r="O61" t="n">
        <x:v>1</x:v>
      </x:c>
      <x:c r="P61" t="str">
        <x:v>2410.20901</x:v>
      </x:c>
      <x:c r="Q61" t="str">
        <x:v>Magic running- and standing-wave optical traps for Rydberg atoms</x:v>
      </x:c>
      <x:c r="R61" t="str">
        <x:v>Keep enabling-physics candidate</x:v>
      </x:c>
      <x:c r="S61" t="str">
        <x:v>B/C</x:v>
      </x:c>
      <x:c r="T61" t="str">
        <x:v>Rydberg trapping/coherence; adjacent to tweezer-array processors.</x:v>
      </x:c>
    </x:row>
    <x:row r="62">
      <x:c r="A62" t="str">
        <x:v>PI-0061</x:v>
      </x:c>
      <x:c r="B62" t="str">
        <x:v>Gerhard Rempe</x:v>
      </x:c>
      <x:c r="C62" t="str">
        <x:v>Max Planck Institute of Quantum Optics</x:v>
      </x:c>
      <x:c r="D62"/>
      <x:c r="E62" t="str">
        <x:v>Garching</x:v>
      </x:c>
      <x:c r="F62" t="str">
        <x:v>Germany</x:v>
      </x:c>
      <x:c r="G62" t="str">
        <x:v>academic/experimental</x:v>
      </x:c>
      <x:c r="H62"/>
      <x:c r="I62" t="n">
        <x:v>1</x:v>
      </x:c>
      <x:c r="J62" t="n">
        <x:v>0</x:v>
      </x:c>
      <x:c r="K62" t="n">
        <x:v>0</x:v>
      </x:c>
      <x:c r="L62" t="n">
        <x:v>1</x:v>
      </x:c>
      <x:c r="M62" t="n">
        <x:v>0</x:v>
      </x:c>
      <x:c r="N62" t="n">
        <x:v>0</x:v>
      </x:c>
      <x:c r="O62" t="n">
        <x:v>1</x:v>
      </x:c>
      <x:c r="P62" t="str">
        <x:v>2407.09109</x:v>
      </x:c>
      <x:c r="Q62" t="str">
        <x:v>A quantum-network register assembled with optical tweezers in an optical cavity</x:v>
      </x:c>
      <x:c r="R62" t="str">
        <x:v>Keep adjacent/interface candidate</x:v>
      </x:c>
      <x:c r="S62" t="str">
        <x:v>C</x:v>
      </x:c>
      <x:c r="T62" t="str">
        <x:v>Neutral-atom cavity/tweezer network node; Rydberg not central.</x:v>
      </x:c>
    </x:row>
    <x:row r="63">
      <x:c r="A63" t="str">
        <x:v>PI-0062</x:v>
      </x:c>
      <x:c r="B63" t="str">
        <x:v>Lin Li</x:v>
      </x:c>
      <x:c r="C63" t="str">
        <x:v>Institution pending</x:v>
      </x:c>
      <x:c r="D63"/>
      <x:c r="E63"/>
      <x:c r="F63"/>
      <x:c r="G63" t="str">
        <x:v>academic/experimental/sensing</x:v>
      </x:c>
      <x:c r="H63"/>
      <x:c r="I63" t="n">
        <x:v>0</x:v>
      </x:c>
      <x:c r="J63" t="n">
        <x:v>1</x:v>
      </x:c>
      <x:c r="K63" t="n">
        <x:v>0</x:v>
      </x:c>
      <x:c r="L63" t="n">
        <x:v>1</x:v>
      </x:c>
      <x:c r="M63" t="n">
        <x:v>0</x:v>
      </x:c>
      <x:c r="N63" t="n">
        <x:v>0</x:v>
      </x:c>
      <x:c r="O63" t="n">
        <x:v>1</x:v>
      </x:c>
      <x:c r="P63" t="str">
        <x:v>2512.05413</x:v>
      </x:c>
      <x:c r="Q63" t="str">
        <x:v>Microwave electrometry with quantum-limited resolutions in a Rydberg atom array</x:v>
      </x:c>
      <x:c r="R63" t="str">
        <x:v>Resolve affiliation; likely sensing candidate</x:v>
      </x:c>
      <x:c r="S63" t="str">
        <x:v>B/C</x:v>
      </x:c>
      <x:c r="T63" t="str">
        <x:v>Individual Rydberg atoms in optical tweezer array for microwave metrology.</x:v>
      </x:c>
    </x:row>
    <x:row r="64">
      <x:c r="A64" t="str">
        <x:v>PI-0063</x:v>
      </x:c>
      <x:c r="B64" t="str">
        <x:v>Oleg V. Lychkovskiy</x:v>
      </x:c>
      <x:c r="C64" t="str">
        <x:v>Institution pending</x:v>
      </x:c>
      <x:c r="D64"/>
      <x:c r="E64"/>
      <x:c r="F64"/>
      <x:c r="G64" t="str">
        <x:v>academic/theory/architecture</x:v>
      </x:c>
      <x:c r="H64"/>
      <x:c r="I64" t="n">
        <x:v>0</x:v>
      </x:c>
      <x:c r="J64" t="n">
        <x:v>1</x:v>
      </x:c>
      <x:c r="K64" t="n">
        <x:v>0</x:v>
      </x:c>
      <x:c r="L64" t="n">
        <x:v>1</x:v>
      </x:c>
      <x:c r="M64" t="n">
        <x:v>0</x:v>
      </x:c>
      <x:c r="N64" t="n">
        <x:v>1</x:v>
      </x:c>
      <x:c r="O64" t="n">
        <x:v>0</x:v>
      </x:c>
      <x:c r="P64" t="str">
        <x:v>2504.05087</x:v>
      </x:c>
      <x:c r="Q64" t="str">
        <x:v>All-to-all connectivity of Rydberg-atom-based quantum processors with messenger qubits</x:v>
      </x:c>
      <x:c r="R64" t="str">
        <x:v>Resolve affiliation before promotion</x:v>
      </x:c>
      <x:c r="S64" t="str">
        <x:v>B/C</x:v>
      </x:c>
      <x:c r="T64" t="str">
        <x:v>Architecture/messenger-qubit theory candidate.</x:v>
      </x:c>
    </x:row>
    <x:row r="65">
      <x:c r="A65" t="str">
        <x:v>PI-0064</x:v>
      </x:c>
      <x:c r="B65" t="str">
        <x:v>Jakub Zakrzewski</x:v>
      </x:c>
      <x:c r="C65" t="str">
        <x:v>Institution pending</x:v>
      </x:c>
      <x:c r="D65"/>
      <x:c r="E65"/>
      <x:c r="F65"/>
      <x:c r="G65" t="str">
        <x:v>academic/theory</x:v>
      </x:c>
      <x:c r="H65"/>
      <x:c r="I65" t="n">
        <x:v>0</x:v>
      </x:c>
      <x:c r="J65" t="n">
        <x:v>1</x:v>
      </x:c>
      <x:c r="K65" t="n">
        <x:v>0</x:v>
      </x:c>
      <x:c r="L65" t="n">
        <x:v>1</x:v>
      </x:c>
      <x:c r="M65" t="n">
        <x:v>0</x:v>
      </x:c>
      <x:c r="N65" t="n">
        <x:v>1</x:v>
      </x:c>
      <x:c r="O65" t="n">
        <x:v>0</x:v>
      </x:c>
      <x:c r="P65" t="str">
        <x:v>2505.07720</x:v>
      </x:c>
      <x:c r="Q65" t="str">
        <x:v>Interplay of localization and topology in Rydberg tweezer arrays</x:v>
      </x:c>
      <x:c r="R65" t="str">
        <x:v>Resolve affiliation before action</x:v>
      </x:c>
      <x:c r="S65" t="str">
        <x:v>B/C</x:v>
      </x:c>
      <x:c r="T65" t="str">
        <x:v>Topology/localization/disorder theory node.</x:v>
      </x:c>
    </x:row>
    <x:row r="66">
      <x:c r="A66" t="str">
        <x:v>PI-0065</x:v>
      </x:c>
      <x:c r="B66" t="str">
        <x:v>Simon L. Cornish</x:v>
      </x:c>
      <x:c r="C66" t="str">
        <x:v>Durham University</x:v>
      </x:c>
      <x:c r="D66"/>
      <x:c r="E66" t="str">
        <x:v>Durham</x:v>
      </x:c>
      <x:c r="F66" t="str">
        <x:v>United Kingdom</x:v>
      </x:c>
      <x:c r="G66" t="str">
        <x:v>academic/experimental/molecules</x:v>
      </x:c>
      <x:c r="H66"/>
      <x:c r="I66" t="n">
        <x:v>1</x:v>
      </x:c>
      <x:c r="J66" t="n">
        <x:v>0</x:v>
      </x:c>
      <x:c r="K66" t="n">
        <x:v>0</x:v>
      </x:c>
      <x:c r="L66" t="n">
        <x:v>1</x:v>
      </x:c>
      <x:c r="M66" t="n">
        <x:v>0</x:v>
      </x:c>
      <x:c r="N66" t="n">
        <x:v>0</x:v>
      </x:c>
      <x:c r="O66" t="n">
        <x:v>1</x:v>
      </x:c>
      <x:c r="P66" t="str">
        <x:v>2401.13593</x:v>
      </x:c>
      <x:c r="Q66" t="str">
        <x:v>Enhanced quantum control of individual ultracold molecules using optical tweezer arrays</x:v>
      </x:c>
      <x:c r="R66" t="str">
        <x:v>Keep adjacent/boundary</x:v>
      </x:c>
      <x:c r="S66" t="str">
        <x:v>C</x:v>
      </x:c>
      <x:c r="T66" t="str">
        <x:v>Molecule tweezer paper; do not count toward Rydberg-core saturation.</x:v>
      </x:c>
    </x:row>
    <x:row r="67">
      <x:c r="A67" s="14" t="str">
        <x:v>PI-0066</x:v>
      </x:c>
      <x:c r="B67" s="14" t="str">
        <x:v>Markus Müller</x:v>
      </x:c>
      <x:c r="C67" s="14" t="str">
        <x:v>institution pending</x:v>
      </x:c>
      <x:c r="D67" s="14"/>
      <x:c r="E67" s="14"/>
      <x:c r="F67" s="14"/>
      <x:c r="G67" s="14" t="str">
        <x:v>theory/QEC</x:v>
      </x:c>
      <x:c r="H67" s="14"/>
      <x:c r="I67" s="14" t="n">
        <x:v>0</x:v>
      </x:c>
      <x:c r="J67" s="14" t="n">
        <x:v>1</x:v>
      </x:c>
      <x:c r="K67" s="14" t="n">
        <x:v>0</x:v>
      </x:c>
      <x:c r="L67" s="14" t="n">
        <x:v>1</x:v>
      </x:c>
      <x:c r="M67" s="14" t="n">
        <x:v>1</x:v>
      </x:c>
      <x:c r="N67" s="14" t="n">
        <x:v>1</x:v>
      </x:c>
      <x:c r="O67" s="14" t="n">
        <x:v>0</x:v>
      </x:c>
      <x:c r="P67" s="14" t="str">
        <x:v>2512.00843</x:v>
      </x:c>
      <x:c r="Q67" s="14" t="str">
        <x:v>Multiqubit Rydberg Gates for Quantum Error Correction</x:v>
      </x:c>
      <x:c r="R67" s="14" t="str">
        <x:v>Candidate; clean affiliation before Database promotion</x:v>
      </x:c>
      <x:c r="S67" s="14" t="str">
        <x:v>B</x:v>
      </x:c>
      <x:c r="T67" s="14" t="str">
        <x:v>Likely important QEC/control node; source only arXiv metadata in v1.8.</x:v>
      </x:c>
    </x:row>
    <x:row r="68">
      <x:c r="A68" s="14" t="str">
        <x:v>PI-0067</x:v>
      </x:c>
      <x:c r="B68" s="14" t="str">
        <x:v>Antoine Georges</x:v>
      </x:c>
      <x:c r="C68" s="14" t="str">
        <x:v>institution pending</x:v>
      </x:c>
      <x:c r="D68" s="14"/>
      <x:c r="E68" s="14"/>
      <x:c r="F68" s="14"/>
      <x:c r="G68" s="14" t="str">
        <x:v>theory/calibration</x:v>
      </x:c>
      <x:c r="H68" s="14"/>
      <x:c r="I68" s="14" t="n">
        <x:v>1</x:v>
      </x:c>
      <x:c r="J68" s="14" t="n">
        <x:v>0</x:v>
      </x:c>
      <x:c r="K68" s="14" t="n">
        <x:v>0</x:v>
      </x:c>
      <x:c r="L68" s="14" t="n">
        <x:v>1</x:v>
      </x:c>
      <x:c r="M68" s="14" t="n">
        <x:v>1</x:v>
      </x:c>
      <x:c r="N68" s="14" t="n">
        <x:v>1</x:v>
      </x:c>
      <x:c r="O68" s="14" t="n">
        <x:v>0</x:v>
      </x:c>
      <x:c r="P68" s="14" t="str">
        <x:v>2412.12019</x:v>
      </x:c>
      <x:c r="Q68" s="14" t="str">
        <x:v>Learning interactions between Rydberg atoms</x:v>
      </x:c>
      <x:c r="R68" s="14" t="str">
        <x:v>Candidate; clean affiliation and co-senior authors before Database promotion</x:v>
      </x:c>
      <x:c r="S68" s="14" t="str">
        <x:v>B</x:v>
      </x:c>
      <x:c r="T68" s="14" t="str">
        <x:v>Relevant Hamiltonian learning / calibration for analog Rydberg simulators.</x:v>
      </x:c>
    </x:row>
    <x:row r="69">
      <x:c r="A69" s="14" t="str">
        <x:v>PI-0068</x:v>
      </x:c>
      <x:c r="B69" s="14" t="str">
        <x:v>Florian Marquardt</x:v>
      </x:c>
      <x:c r="C69" s="14" t="str">
        <x:v>institution pending</x:v>
      </x:c>
      <x:c r="D69" s="14"/>
      <x:c r="E69" s="14"/>
      <x:c r="F69" s="14"/>
      <x:c r="G69" s="14" t="str">
        <x:v>adjacent theory/ML</x:v>
      </x:c>
      <x:c r="H69" s="14"/>
      <x:c r="I69" s="14" t="n">
        <x:v>1</x:v>
      </x:c>
      <x:c r="J69" s="14" t="n">
        <x:v>0</x:v>
      </x:c>
      <x:c r="K69" s="14" t="n">
        <x:v>0</x:v>
      </x:c>
      <x:c r="L69" s="14" t="n">
        <x:v>1</x:v>
      </x:c>
      <x:c r="M69" s="14" t="n">
        <x:v>0</x:v>
      </x:c>
      <x:c r="N69" s="14" t="n">
        <x:v>1</x:v>
      </x:c>
      <x:c r="O69" s="14" t="n">
        <x:v>0</x:v>
      </x:c>
      <x:c r="P69" s="14" t="str">
        <x:v>2406.06482</x:v>
      </x:c>
      <x:c r="Q69" s="14" t="str">
        <x:v>Quantum Equilibrium Propagation for efficient training of quantum systems based on Onsager reciprocity</x:v>
      </x:c>
      <x:c r="R69" s="14" t="str">
        <x:v>Keep as adjacent unless repeated platform-specific work appears</x:v>
      </x:c>
      <x:c r="S69" s="14" t="str">
        <x:v>C</x:v>
      </x:c>
      <x:c r="T69" s="14" t="str">
        <x:v>Mentions neutral atom Rydberg tweezer arrays as one candidate platform; not platform-specific.</x:v>
      </x:c>
    </x:row>
    <x:row r="70">
      <x:c r="A70" s="14" t="str">
        <x:v>PI-0069</x:v>
      </x:c>
      <x:c r="B70" s="14" t="str">
        <x:v>last author pending</x:v>
      </x:c>
      <x:c r="C70" s="14" t="str">
        <x:v>institution pending</x:v>
      </x:c>
      <x:c r="D70" s="14"/>
      <x:c r="E70" s="14"/>
      <x:c r="F70" s="14"/>
      <x:c r="G70" s="14" t="str">
        <x:v>theory/QS candidate</x:v>
      </x:c>
      <x:c r="H70" s="14"/>
      <x:c r="I70" s="14" t="n">
        <x:v>0</x:v>
      </x:c>
      <x:c r="J70" s="14" t="n">
        <x:v>1</x:v>
      </x:c>
      <x:c r="K70" s="14" t="n">
        <x:v>0</x:v>
      </x:c>
      <x:c r="L70" s="14" t="n">
        <x:v>1</x:v>
      </x:c>
      <x:c r="M70" s="14" t="n">
        <x:v>0</x:v>
      </x:c>
      <x:c r="N70" s="14" t="n">
        <x:v>1</x:v>
      </x:c>
      <x:c r="O70" s="14" t="n">
        <x:v>0</x:v>
      </x:c>
      <x:c r="P70" s="14" t="str">
        <x:v>2512.14149</x:v>
      </x:c>
      <x:c r="Q70" s="14" t="str">
        <x:v>A sine-square deformation approach to quantum critical points in one-dimensional systems</x:v>
      </x:c>
      <x:c r="R70" s="14" t="str">
        <x:v>Manual author extraction needed</x:v>
      </x:c>
      <x:c r="S70" s="14" t="str">
        <x:v>B/C</x:v>
      </x:c>
      <x:c r="T70" s="14" t="str">
        <x:v>Do not promote or aggregate until last author is resolved.</x:v>
      </x:c>
    </x:row>
  </x:sheetData>
  <x:dataValidations count="2">
    <x:dataValidation type="list" sqref="R2:R1000">
      <x:formula1>"A,B,C,Exclude,Pending"</x:formula1>
    </x:dataValidation>
    <x:dataValidation type="list" sqref="S2:S1000">
      <x:formula1>"A,B,C,Pending"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f647faa18344b08"/>
  </x:tableParts>
</x:worksheet>
</file>

<file path=xl/worksheets/sheet1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72" hidden="0" customWidth="1"/>
    <x:col min="3" max="3" width="40" hidden="0" customWidth="1"/>
  </x:cols>
  <x:sheetData>
    <x:row r="1">
      <x:c r="A1" s="62" t="str">
        <x:v>ArXiv 2024-2026 PI/Affiliation Mining Protocol</x:v>
      </x:c>
      <x:c r="B1" s="14" t="str"/>
      <x:c r="C1" s="14" t="str"/>
    </x:row>
    <x:row r="2">
      <x:c r="A2" s="14" t="str">
        <x:v>Goal</x:v>
      </x:c>
      <x:c r="B2" s="14" t="str">
        <x:v>Build a paper-level and PI-level map from arXiv papers in the target field, restricted to 2024, 2025 and 2026.</x:v>
      </x:c>
      <x:c r="C2" s="14" t="str"/>
    </x:row>
    <x:row r="3">
      <x:c r="A3" s="14" t="str">
        <x:v>Important caveat</x:v>
      </x:c>
      <x:c r="B3" s="14" t="str">
        <x:v>Last author is a useful PI proxy in this community, but not a law. Mark ambiguous cases as unclear.</x:v>
      </x:c>
      <x:c r="C3" s="14" t="str"/>
    </x:row>
    <x:row r="4">
      <x:c r="A4" s="14" t="str">
        <x:v>Data limitation</x:v>
      </x:c>
      <x:c r="B4" s="14" t="str">
        <x:v>arXiv API gives reliable paper metadata and author names, but affiliation extraction may need PDF/OpenAlex/Semantic Scholar/manual validation.</x:v>
      </x:c>
      <x:c r="C4" s="14" t="str"/>
    </x:row>
    <x:row r="5">
      <x:c r="A5" s="14" t="str">
        <x:v>Date window</x:v>
      </x:c>
      <x:c r="B5" s="14" t="str">
        <x:v>2024-01-01 to 2026-12-31, using submitted/published date first; updated date only as secondary signal.</x:v>
      </x:c>
      <x:c r="C5" s="14" t="str"/>
    </x:row>
    <x:row r="6">
      <x:c r="A6" s="61" t="str">
        <x:v>Workflow step</x:v>
      </x:c>
      <x:c r="B6" s="61" t="str">
        <x:v>Action</x:v>
      </x:c>
      <x:c r="C6" s="61" t="str">
        <x:v>Output</x:v>
      </x:c>
    </x:row>
    <x:row r="7">
      <x:c r="A7" s="14" t="str">
        <x:v>1</x:v>
      </x:c>
      <x:c r="B7" s="14" t="str">
        <x:v>Run each query in Arxiv_Queries with year filter 2024, 2025, 2026 separately.</x:v>
      </x:c>
      <x:c r="C7" s="14" t="str">
        <x:v>Raw paper candidates</x:v>
      </x:c>
    </x:row>
    <x:row r="8">
      <x:c r="A8" s="14" t="str">
        <x:v>2</x:v>
      </x:c>
      <x:c r="B8" s="14" t="str">
        <x:v>Deduplicate by base arXiv ID, keeping latest version but preserving first submitted year.</x:v>
      </x:c>
      <x:c r="C8" s="14" t="str">
        <x:v>Clean paper list</x:v>
      </x:c>
    </x:row>
    <x:row r="9">
      <x:c r="A9" s="14" t="str">
        <x:v>3</x:v>
      </x:c>
      <x:c r="B9" s="14" t="str">
        <x:v>Filter by target scope: neutral atoms + Rydberg + tweezers/arrays; keep theory/mixed rows too.</x:v>
      </x:c>
      <x:c r="C9" s="14" t="str">
        <x:v>include_decision + reason</x:v>
      </x:c>
    </x:row>
    <x:row r="10">
      <x:c r="A10" s="14" t="str">
        <x:v>4</x:v>
      </x:c>
      <x:c r="B10" s="14" t="str">
        <x:v>Extract last author and normalize name manually when needed.</x:v>
      </x:c>
      <x:c r="C10" s="14" t="str">
        <x:v>last_author_normalized</x:v>
      </x:c>
    </x:row>
    <x:row r="11">
      <x:c r="A11" s="14" t="str">
        <x:v>5</x:v>
      </x:c>
      <x:c r="B11" s="14" t="str">
        <x:v>Extract last-author affiliation from arXiv XML if present; otherwise PDF front matter, OpenAlex, Semantic Scholar or official page.</x:v>
      </x:c>
      <x:c r="C11" s="14" t="str">
        <x:v>last_author_affiliation_raw + source</x:v>
      </x:c>
    </x:row>
    <x:row r="12">
      <x:c r="A12" s="14" t="str">
        <x:v>6</x:v>
      </x:c>
      <x:c r="B12" s="14" t="str">
        <x:v>Normalize institution and country; add ROR when reliable.</x:v>
      </x:c>
      <x:c r="C12" s="14" t="str">
        <x:v>institution_normalized + ror_id</x:v>
      </x:c>
    </x:row>
    <x:row r="13">
      <x:c r="A13" s="14" t="str">
        <x:v>7</x:v>
      </x:c>
      <x:c r="B13" s="14" t="str">
        <x:v>Link to Database row if the group/company already exists; otherwise mark as new or staging.</x:v>
      </x:c>
      <x:c r="C13" s="14" t="str">
        <x:v>database_entity_id + entity_match_status</x:v>
      </x:c>
    </x:row>
    <x:row r="14">
      <x:c r="A14" s="14" t="str">
        <x:v>8</x:v>
      </x:c>
      <x:c r="B14" s="14" t="str">
        <x:v>Aggregate by last_author_normalized + institution.</x:v>
      </x:c>
      <x:c r="C14" s="14" t="str">
        <x:v>Arxiv_PI_Aggregate</x:v>
      </x:c>
    </x:row>
    <x:row r="15">
      <x:c r="A15" s="14" t="str">
        <x:v>9</x:v>
      </x:c>
      <x:c r="B15" s="14" t="str">
        <x:v>Promote strong new nodes into Database only after source validation.</x:v>
      </x:c>
      <x:c r="C15" s="14" t="str">
        <x:v>Database update</x:v>
      </x:c>
    </x:row>
    <x:row r="16">
      <x:c r="A16" s="14" t="str">
        <x:v>Proposed arXiv API source</x:v>
      </x:c>
      <x:c r="B16" s="14" t="str">
        <x:v>https://info.arxiv.org/help/api/user-manual.html</x:v>
      </x:c>
      <x:c r="C16" s="14" t="str">
        <x:v>Official arXiv API user manual</x:v>
      </x:c>
    </x:row>
    <x:row r="17">
      <x:c r="A17" s="14" t="str">
        <x:v>Metadata enrichment sources</x:v>
      </x:c>
      <x:c r="B17" s="14" t="str">
        <x:v>OpenAlex / Semantic Scholar / PDF / official group pages</x:v>
      </x:c>
      <x:c r="C17" s="14" t="str">
        <x:v>Use source_url columns row-by-row</x:v>
      </x:c>
    </x:row>
    <x:row r="18">
      <x:c r="A18" s="14" t="str">
        <x:v>Quality rule</x:v>
      </x:c>
      <x:c r="B18" s="14" t="str">
        <x:v>No affiliation without a source. No A-core promotion without clear Rydberg + neutral-atom + tweezer/array evidence.</x:v>
      </x:c>
      <x:c r="C18" s="14" t="str"/>
    </x:row>
  </x:sheetData>
  <x:mergeCells>
    <x:mergeCell ref="A1:C1"/>
  </x:mergeCell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defaultRowHeight="15"/>
  <x:cols>
    <x:col min="1" max="1" width="6.630000114440918" hidden="0" customWidth="1"/>
    <x:col min="2" max="2" width="4.75" hidden="0" customWidth="1"/>
    <x:col min="3" max="3" width="5.5" hidden="0" customWidth="1"/>
  </x:cols>
  <x:sheetData>
    <x:row r="1">
      <x:c r="A1" s="97" t="str">
        <x:v>QC item</x:v>
      </x:c>
      <x:c r="B1" s="97" t="str">
        <x:v>Value</x:v>
      </x:c>
      <x:c r="C1" s="97" t="str">
        <x:v>Action</x:v>
      </x:c>
    </x:row>
    <x:row r="2">
      <x:c r="A2" s="14" t="str">
        <x:v>Version</x:v>
      </x:c>
      <x:c r="B2" s="14" t="str">
        <x:v>v1.0</x:v>
      </x:c>
      <x:c r="C2" s="14" t="str">
        <x:v>Usable map-ready release: affiliation cleanup + map exports.</x:v>
      </x:c>
    </x:row>
    <x:row r="3">
      <x:c r="A3" s="14" t="str">
        <x:v>Database entries total after v1.0</x:v>
      </x:c>
      <x:c r="B3" s="14" t="n">
        <x:v>59</x:v>
      </x:c>
      <x:c r="C3" s="14" t="str">
        <x:v>53 prior + 6 promoted entries.</x:v>
      </x:c>
    </x:row>
    <x:row r="4">
      <x:c r="A4" s="14" t="str">
        <x:v>New DB entries in v1.0</x:v>
      </x:c>
      <x:c r="B4" s="14" t="n">
        <x:v>6</x:v>
      </x:c>
      <x:c r="C4" s="14" t="str">
        <x:v>E-054 to E-059.</x:v>
      </x:c>
    </x:row>
    <x:row r="5">
      <x:c r="A5" s="14" t="str">
        <x:v>PI affiliation QC rows</x:v>
      </x:c>
      <x:c r="B5" s="14" t="n">
        <x:v>24</x:v>
      </x:c>
      <x:c r="C5" s="14" t="str">
        <x:v>AFF-001 to AFF-024; main v0.9 ambiguous cases resolved or demoted explicitly.</x:v>
      </x:c>
    </x:row>
    <x:row r="6">
      <x:c r="A6" s="14" t="str">
        <x:v>Map exports</x:v>
      </x:c>
      <x:c r="B6" s="14" t="str">
        <x:v>Map_Export + CSV + GeoJSON</x:v>
      </x:c>
      <x:c r="C6" s="14" t="str">
        <x:v>Only rows with latitude and longitude are included in external map files.</x:v>
      </x:c>
    </x:row>
    <x:row r="7">
      <x:c r="A7" s="14" t="str">
        <x:v>Remaining high-priority work</x:v>
      </x:c>
      <x:c r="B7" s="14" t="str">
        <x:v>Systematic arXiv 2024-2026 batch</x:v>
      </x:c>
      <x:c r="C7" s="14" t="str">
        <x:v>Scale from pilot to 100-200 candidate papers, then deduplicate last authors.</x:v>
      </x:c>
    </x:row>
    <x:row r="8">
      <x:c r="A8" s="14" t="str">
        <x:v>Remaining high-priority work</x:v>
      </x:c>
      <x:c r="B8" s="14" t="str">
        <x:v>ROR/institution normalization</x:v>
      </x:c>
      <x:c r="C8" s="14" t="str">
        <x:v>Fill ror_id and canonical institution IDs for web use.</x:v>
      </x:c>
    </x:row>
    <x:row r="9">
      <x:c r="A9" s="14" t="str">
        <x:v>Remaining high-priority work</x:v>
      </x:c>
      <x:c r="B9" s="14" t="str">
        <x:v>Entity deduplication</x:v>
      </x:c>
      <x:c r="C9" s="14" t="str">
        <x:v>Merge or split nodes such as Harvard/Lukin/Ni/Bernien and NUS/CQT groups.</x:v>
      </x:c>
    </x:row>
    <x:row r="10">
      <x:c r="A10" s="14" t="str">
        <x:v>Known merge/fix</x:v>
      </x:c>
      <x:c r="B10" s="14" t="n">
        <x:v>1</x:v>
      </x:c>
      <x:c r="C10" s="14" t="str">
        <x:v>Servaas Kokkelmans should point to E-010, not E-018.</x:v>
      </x:c>
    </x:row>
    <x:row r="11">
      <x:c r="A11" s="14" t="str">
        <x:v>Next recommended version</x:v>
      </x:c>
      <x:c r="B11" s="14" t="str">
        <x:v>v1.0</x:v>
      </x:c>
      <x:c r="C11" s="14" t="str">
        <x:v>Patch aggregate/map matches, extract affiliations from PDFs for unresolved candidates, then export CSV/GeoJSON skeleton.</x:v>
      </x:c>
    </x:row>
    <x:row r="12" ht="36" customHeight="1">
      <x:c r="A12" s="14" t="str">
        <x:v>Version</x:v>
      </x:c>
      <x:c r="B12" s="14" t="str">
        <x:v>v1.1</x:v>
      </x:c>
      <x:c r="C12" s="14" t="str">
        <x:v>ArXiv 2024-2026 batch expansion; Database/map unchanged.</x:v>
      </x:c>
    </x:row>
    <x:row r="13" ht="36" customHeight="1">
      <x:c r="A13" s="14" t="str">
        <x:v>Database entries total after v1.1</x:v>
      </x:c>
      <x:c r="B13" s="14" t="n">
        <x:v>59</x:v>
      </x:c>
      <x:c r="C13" s="14" t="str">
        <x:v>No DB promotion in this batch; paper layer only.</x:v>
      </x:c>
    </x:row>
    <x:row r="14" ht="36" customHeight="1">
      <x:c r="A14" s="14" t="str">
        <x:v>New Arxiv_PI_Map rows in v1.1</x:v>
      </x:c>
      <x:c r="B14" s="14" t="n">
        <x:v>17</x:v>
      </x:c>
      <x:c r="C14" s="14" t="str">
        <x:v>Rows ARXIV-PI-0051 to ARXIV-PI-0067.</x:v>
      </x:c>
    </x:row>
    <x:row r="15" ht="36" customHeight="1">
      <x:c r="A15" s="14" t="str">
        <x:v>New Arxiv_PI_Aggregate rows in v1.1</x:v>
      </x:c>
      <x:c r="B15" s="14" t="n">
        <x:v>15</x:v>
      </x:c>
      <x:c r="C15" s="14" t="str">
        <x:v>Rows PI-0033 to PI-0047.</x:v>
      </x:c>
    </x:row>
    <x:row r="16" ht="36" customHeight="1">
      <x:c r="A16" s="14" t="str">
        <x:v>New query buckets in v1.1</x:v>
      </x:c>
      <x:c r="B16" s="14" t="n">
        <x:v>6</x:v>
      </x:c>
      <x:c r="C16" s="14" t="str">
        <x:v>Q-023 to Q-028.</x:v>
      </x:c>
    </x:row>
    <x:row r="17" ht="36" customHeight="1">
      <x:c r="A17" s="14" t="str">
        <x:v>Manual-check rows added</x:v>
      </x:c>
      <x:c r="B17" s="14" t="n">
        <x:v>16</x:v>
      </x:c>
      <x:c r="C17" s="14" t="str">
        <x:v>Mainly affiliation-pending or adjacent-platform rows.</x:v>
      </x:c>
    </x:row>
    <x:row r="18" ht="36" customHeight="1">
      <x:c r="A18" s="14" t="str">
        <x:v>Next recommended version</x:v>
      </x:c>
      <x:c r="B18" s="14" t="str">
        <x:v>v1.2</x:v>
      </x:c>
      <x:c r="C18" s="14" t="str">
        <x:v>Resolve affiliations for Peng Xu, Ming-Sheng Zhan, Susanne Yelin, Ming Xue, Alessio Lerose, X.Q. Shao, Jingbo Wang; then promote or demote.</x:v>
      </x:c>
    </x:row>
  </x:sheetData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2" hidden="0" customWidth="1"/>
    <x:col min="3" max="3" width="28" hidden="0" customWidth="1"/>
    <x:col min="4" max="4" width="28" hidden="0" customWidth="1"/>
    <x:col min="5" max="5" width="28" hidden="0" customWidth="1"/>
    <x:col min="6" max="6" width="28" hidden="0" customWidth="1"/>
    <x:col min="7" max="7" width="13.75" hidden="0" customWidth="1"/>
    <x:col min="8" max="8" width="10.5" hidden="0" customWidth="1"/>
    <x:col min="9" max="9" width="28" hidden="0" customWidth="1"/>
    <x:col min="10" max="10" width="14" hidden="0" customWidth="1"/>
    <x:col min="11" max="11" width="18" hidden="0" customWidth="1"/>
    <x:col min="12" max="12" width="15.25" hidden="0" customWidth="1"/>
    <x:col min="13" max="13" width="21.5" hidden="0" customWidth="1"/>
    <x:col min="14" max="14" width="28" hidden="0" customWidth="1"/>
    <x:col min="15" max="15" width="28" hidden="0" customWidth="1"/>
  </x:cols>
  <x:sheetData>
    <x:row r="1">
      <x:c r="A1" s="91" t="str">
        <x:v>qc_id</x:v>
      </x:c>
      <x:c r="B1" s="91" t="str">
        <x:v>last_author_or_lead</x:v>
      </x:c>
      <x:c r="C1" s="91" t="str">
        <x:v>source_arxiv_ids</x:v>
      </x:c>
      <x:c r="D1" s="91" t="str">
        <x:v>evidence_title_or_basis</x:v>
      </x:c>
      <x:c r="E1" s="91" t="str">
        <x:v>affiliation_found</x:v>
      </x:c>
      <x:c r="F1" s="91" t="str">
        <x:v>institution_normalized</x:v>
      </x:c>
      <x:c r="G1" s="91" t="str">
        <x:v>city</x:v>
      </x:c>
      <x:c r="H1" s="91" t="str">
        <x:v>country</x:v>
      </x:c>
      <x:c r="I1" s="91" t="str">
        <x:v>evidence_url</x:v>
      </x:c>
      <x:c r="J1" s="91" t="str">
        <x:v>confidence</x:v>
      </x:c>
      <x:c r="K1" s="91" t="str">
        <x:v>action</x:v>
      </x:c>
      <x:c r="L1" s="91" t="str">
        <x:v>database_entity_id</x:v>
      </x:c>
      <x:c r="M1" s="91" t="str">
        <x:v>status_after_v0_9</x:v>
      </x:c>
      <x:c r="N1" s="91" t="str">
        <x:v>notes</x:v>
      </x:c>
      <x:c r="O1" s="91" t="str">
        <x:v>next_check</x:v>
      </x:c>
    </x:row>
    <x:row r="2">
      <x:c r="A2" s="14" t="str">
        <x:v>AFF-001</x:v>
      </x:c>
      <x:c r="B2" s="14" t="str">
        <x:v>Ivan H. Deutsch</x:v>
      </x:c>
      <x:c r="C2" s="14" t="str">
        <x:v>2606.02283</x:v>
      </x:c>
      <x:c r="D2" s="14" t="str">
        <x:v>Quantum optimal control of the Dicke manifold in dipolar Rydberg atom arrays</x:v>
      </x:c>
      <x:c r="E2" s="14" t="str">
        <x:v>University of New Mexico / CQuIC</x:v>
      </x:c>
      <x:c r="F2" s="14" t="str">
        <x:v>University of New Mexico</x:v>
      </x:c>
      <x:c r="G2" s="14" t="str">
        <x:v>Albuquerque</x:v>
      </x:c>
      <x:c r="H2" s="14" t="str">
        <x:v>United States</x:v>
      </x:c>
      <x:c r="I2" s="14" t="str">
        <x:v>https://cquic.unm.edu/people/ivan-deutsch/index.html</x:v>
      </x:c>
      <x:c r="J2" s="14" t="str">
        <x:v>high</x:v>
      </x:c>
      <x:c r="K2" s="14" t="str">
        <x:v>promote</x:v>
      </x:c>
      <x:c r="L2" s="14" t="str">
        <x:v>E-044</x:v>
      </x:c>
      <x:c r="M2" s="14" t="str">
        <x:v>promoted</x:v>
      </x:c>
      <x:c r="N2" s="14" t="str">
        <x:v>Official UNM/CQuIC page verifies affiliation; paper is theory/control.</x:v>
      </x:c>
      <x:c r="O2" s="14" t="str">
        <x:v>Extract exact affiliations from PDF/source later.</x:v>
      </x:c>
    </x:row>
    <x:row r="3">
      <x:c r="A3" s="14" t="str">
        <x:v>AFF-002</x:v>
      </x:c>
      <x:c r="B3" s="14" t="str">
        <x:v>Grégoire Misguich</x:v>
      </x:c>
      <x:c r="C3" s="14" t="str">
        <x:v>2507.07875; 2604.18457</x:v>
      </x:c>
      <x:c r="D3" s="14" t="str">
        <x:v>Rydberg-array state preparation / random-state theory</x:v>
      </x:c>
      <x:c r="E3" s="14" t="str">
        <x:v>CEA / Institut de Physique Théorique</x:v>
      </x:c>
      <x:c r="F3" s="14" t="str">
        <x:v>CEA / IPhT, Université Paris-Saclay</x:v>
      </x:c>
      <x:c r="G3" s="14" t="str">
        <x:v>Saclay</x:v>
      </x:c>
      <x:c r="H3" s="14" t="str">
        <x:v>France</x:v>
      </x:c>
      <x:c r="I3" s="14" t="str">
        <x:v>https://www.ipht.fr/en/pisp/gregoire-misguich-2/</x:v>
      </x:c>
      <x:c r="J3" s="14" t="str">
        <x:v>high</x:v>
      </x:c>
      <x:c r="K3" s="14" t="str">
        <x:v>promote</x:v>
      </x:c>
      <x:c r="L3" s="14" t="str">
        <x:v>E-045</x:v>
      </x:c>
      <x:c r="M3" s="14" t="str">
        <x:v>promoted</x:v>
      </x:c>
      <x:c r="N3" s="14" t="str">
        <x:v>Official IPhT page verifies permanent position; local France node.</x:v>
      </x:c>
      <x:c r="O3" s="14" t="str">
        <x:v>Normalize map display to CEA-IPhT / Paris-Saclay.</x:v>
      </x:c>
    </x:row>
    <x:row r="4">
      <x:c r="A4" s="14" t="str">
        <x:v>AFF-003</x:v>
      </x:c>
      <x:c r="B4" s="14" t="str">
        <x:v>Maksym Serbyn</x:v>
      </x:c>
      <x:c r="C4" s="14" t="str">
        <x:v>2507.13196; 2605.05297</x:v>
      </x:c>
      <x:c r="D4" s="14" t="str">
        <x:v>Rydberg chains / many-body scars</x:v>
      </x:c>
      <x:c r="E4" s="14" t="str">
        <x:v>ISTA</x:v>
      </x:c>
      <x:c r="F4" s="14" t="str">
        <x:v>Institute of Science and Technology Austria (ISTA)</x:v>
      </x:c>
      <x:c r="G4" s="14" t="str">
        <x:v>Klosterneuburg</x:v>
      </x:c>
      <x:c r="H4" s="14" t="str">
        <x:v>Austria</x:v>
      </x:c>
      <x:c r="I4" s="14" t="str">
        <x:v>https://serbyn.github.io/site/</x:v>
      </x:c>
      <x:c r="J4" s="14" t="str">
        <x:v>high</x:v>
      </x:c>
      <x:c r="K4" s="14" t="str">
        <x:v>promote</x:v>
      </x:c>
      <x:c r="L4" s="14" t="str">
        <x:v>E-046</x:v>
      </x:c>
      <x:c r="M4" s="14" t="str">
        <x:v>promoted</x:v>
      </x:c>
      <x:c r="N4" s="14" t="str">
        <x:v>Official group page verifies ISTA. Relevance is theory, not hardware.</x:v>
      </x:c>
      <x:c r="O4" s="14" t="str">
        <x:v>Keep B/C boundary until a tweezer-specific collaboration appears.</x:v>
      </x:c>
    </x:row>
    <x:row r="5">
      <x:c r="A5" s="14" t="str">
        <x:v>AFF-004</x:v>
      </x:c>
      <x:c r="B5" s="14" t="str">
        <x:v>Juan Carrasquilla</x:v>
      </x:c>
      <x:c r="C5" s="14" t="str">
        <x:v>2405.20384</x:v>
      </x:c>
      <x:c r="D5" s="14" t="str">
        <x:v>RNN wavefunctions for Rydberg atom arrays</x:v>
      </x:c>
      <x:c r="E5" s="14" t="str">
        <x:v>ETH Zurich</x:v>
      </x:c>
      <x:c r="F5" s="14" t="str">
        <x:v>ETH Zurich</x:v>
      </x:c>
      <x:c r="G5" s="14" t="str">
        <x:v>Zurich</x:v>
      </x:c>
      <x:c r="H5" s="14" t="str">
        <x:v>Switzerland</x:v>
      </x:c>
      <x:c r="I5" s="14" t="str">
        <x:v>https://www.phys.ethz.ch/news-and-events/d-phys-news/2023/12/new-year-new-professors.html</x:v>
      </x:c>
      <x:c r="J5" s="14" t="str">
        <x:v>medium-high</x:v>
      </x:c>
      <x:c r="K5" s="14" t="str">
        <x:v>promote</x:v>
      </x:c>
      <x:c r="L5" s="14" t="str">
        <x:v>E-047</x:v>
      </x:c>
      <x:c r="M5" s="14" t="str">
        <x:v>promoted</x:v>
      </x:c>
      <x:c r="N5" s="14" t="str">
        <x:v>ETH news verifies professor appointment. ML/theory node.</x:v>
      </x:c>
      <x:c r="O5" s="14" t="str">
        <x:v>Find official group page and ROR.</x:v>
      </x:c>
    </x:row>
    <x:row r="6">
      <x:c r="A6" s="14" t="str">
        <x:v>AFF-005</x:v>
      </x:c>
      <x:c r="B6" s="14" t="str">
        <x:v>Jin-Guo Liu</x:v>
      </x:c>
      <x:c r="C6" s="14" t="str">
        <x:v>2606.12030</x:v>
      </x:c>
      <x:c r="D6" s="14" t="str">
        <x:v>Measurement-Free Toric-Code Memory in Array Globally Controlled Rydberg Array</x:v>
      </x:c>
      <x:c r="E6" s="14" t="str">
        <x:v>HKUST Guangzhou</x:v>
      </x:c>
      <x:c r="F6" s="14" t="str">
        <x:v>Hong Kong University of Science and Technology (Guangzhou)</x:v>
      </x:c>
      <x:c r="G6" s="14" t="str">
        <x:v>Guangzhou</x:v>
      </x:c>
      <x:c r="H6" s="14" t="str">
        <x:v>China</x:v>
      </x:c>
      <x:c r="I6" s="14" t="str">
        <x:v>https://facultyprofiles.hkust-gz.edu.cn/faculty-personal-page/LIU-Jinguo/jinguoliu</x:v>
      </x:c>
      <x:c r="J6" s="14" t="str">
        <x:v>high</x:v>
      </x:c>
      <x:c r="K6" s="14" t="str">
        <x:v>promote</x:v>
      </x:c>
      <x:c r="L6" s="14" t="str">
        <x:v>E-048</x:v>
      </x:c>
      <x:c r="M6" s="14" t="str">
        <x:v>promoted</x:v>
      </x:c>
      <x:c r="N6" s="14" t="str">
        <x:v>Faculty/profile pages and group page support affiliation; direct Rydberg/QEC relevance.</x:v>
      </x:c>
      <x:c r="O6" s="14" t="str">
        <x:v>Canonicalize Jin-Guo vs Jinguo spelling.</x:v>
      </x:c>
    </x:row>
    <x:row r="7">
      <x:c r="A7" s="14" t="str">
        <x:v>AFF-006</x:v>
      </x:c>
      <x:c r="B7" s="14" t="str">
        <x:v>Pengfei Zhang</x:v>
      </x:c>
      <x:c r="C7" s="14" t="str">
        <x:v>2507.16751</x:v>
      </x:c>
      <x:c r="D7" s="14" t="str">
        <x:v>Spin-phonon coupling in Rydberg atom arrays</x:v>
      </x:c>
      <x:c r="E7" s="14" t="str">
        <x:v>Fudan University</x:v>
      </x:c>
      <x:c r="F7" s="14" t="str">
        <x:v>Fudan University</x:v>
      </x:c>
      <x:c r="G7" s="14" t="str">
        <x:v>Shanghai</x:v>
      </x:c>
      <x:c r="H7" s="14" t="str">
        <x:v>China</x:v>
      </x:c>
      <x:c r="I7" s="14" t="str">
        <x:v>https://arxiv.org/pdf/2507.16751</x:v>
      </x:c>
      <x:c r="J7" s="14" t="str">
        <x:v>high</x:v>
      </x:c>
      <x:c r="K7" s="14" t="str">
        <x:v>promote</x:v>
      </x:c>
      <x:c r="L7" s="14" t="str">
        <x:v>E-049</x:v>
      </x:c>
      <x:c r="M7" s="14" t="str">
        <x:v>promoted</x:v>
      </x:c>
      <x:c r="N7" s="14" t="str">
        <x:v>PDF gives Department of Physics, Fudan + State Key Lab + Hefei National Lab.</x:v>
      </x:c>
      <x:c r="O7" s="14" t="str">
        <x:v>Find stable official profile.</x:v>
      </x:c>
    </x:row>
    <x:row r="8">
      <x:c r="A8" s="14" t="str">
        <x:v>AFF-007</x:v>
      </x:c>
      <x:c r="B8" s="14" t="str">
        <x:v>Pai Peng</x:v>
      </x:c>
      <x:c r="C8" s="14" t="str">
        <x:v>2512.19795</x:v>
      </x:c>
      <x:c r="D8" s="14" t="str">
        <x:v>High-efficiency loading of 2,400 Yb atoms in optical tweezers</x:v>
      </x:c>
      <x:c r="E8" s="14" t="str">
        <x:v>Peking University</x:v>
      </x:c>
      <x:c r="F8" s="14" t="str">
        <x:v>Peking University</x:v>
      </x:c>
      <x:c r="G8" s="14" t="str">
        <x:v>Beijing</x:v>
      </x:c>
      <x:c r="H8" s="14" t="str">
        <x:v>China</x:v>
      </x:c>
      <x:c r="I8" s="14" t="str">
        <x:v>https://arxiv.org/html/2512.19795v1</x:v>
      </x:c>
      <x:c r="J8" s="14" t="str">
        <x:v>high</x:v>
      </x:c>
      <x:c r="K8" s="14" t="str">
        <x:v>promote</x:v>
      </x:c>
      <x:c r="L8" s="14" t="str">
        <x:v>E-050</x:v>
      </x:c>
      <x:c r="M8" s="14" t="str">
        <x:v>promoted_B</x:v>
      </x:c>
      <x:c r="N8" s="14" t="str">
        <x:v>Strong optical-tweezer/Yb platform. Rydberg role is proposed/estimated in this paper.</x:v>
      </x:c>
      <x:c r="O8" s="14" t="str">
        <x:v>Watch for demonstrated Rydberg gates/blockade.</x:v>
      </x:c>
    </x:row>
    <x:row r="9">
      <x:c r="A9" s="14" t="str">
        <x:v>AFF-008</x:v>
      </x:c>
      <x:c r="B9" s="14" t="str">
        <x:v>Alex P. Burgers</x:v>
      </x:c>
      <x:c r="C9" s="14" t="str">
        <x:v>2606.08453</x:v>
      </x:c>
      <x:c r="D9" s="14" t="str">
        <x:v>Dual metastable-state Yb encoding architecture</x:v>
      </x:c>
      <x:c r="E9" s="14" t="str">
        <x:v>University of Michigan</x:v>
      </x:c>
      <x:c r="F9" s="14" t="str">
        <x:v>University of Michigan</x:v>
      </x:c>
      <x:c r="G9" s="14" t="str">
        <x:v>Ann Arbor</x:v>
      </x:c>
      <x:c r="H9" s="14" t="str">
        <x:v>United States</x:v>
      </x:c>
      <x:c r="I9" s="14" t="str">
        <x:v>https://arxiv.org/html/2606.08453v1</x:v>
      </x:c>
      <x:c r="J9" s="14" t="str">
        <x:v>high</x:v>
      </x:c>
      <x:c r="K9" s="14" t="str">
        <x:v>promote</x:v>
      </x:c>
      <x:c r="L9" s="14" t="str">
        <x:v>E-051</x:v>
      </x:c>
      <x:c r="M9" s="14" t="str">
        <x:v>promoted</x:v>
      </x:c>
      <x:c r="N9" s="14" t="str">
        <x:v>HTML lists EECS and Quantum Research Institute, UMich.</x:v>
      </x:c>
      <x:c r="O9" s="14" t="str">
        <x:v>Check if experimental platform is active or architecture-only.</x:v>
      </x:c>
    </x:row>
    <x:row r="10">
      <x:c r="A10" s="14" t="str">
        <x:v>AFF-009</x:v>
      </x:c>
      <x:c r="B10" s="14" t="str">
        <x:v>Kang-Kuen Ni</x:v>
      </x:c>
      <x:c r="C10" s="14" t="str">
        <x:v>2605.10924; 2401.10325</x:v>
      </x:c>
      <x:c r="D10" s="14" t="str">
        <x:v>Dual-species Rydberg array / stabilizer readout</x:v>
      </x:c>
      <x:c r="E10" s="14" t="str">
        <x:v>Harvard University</x:v>
      </x:c>
      <x:c r="F10" s="14" t="str">
        <x:v>Harvard University</x:v>
      </x:c>
      <x:c r="G10" s="14" t="str">
        <x:v>Cambridge</x:v>
      </x:c>
      <x:c r="H10" s="14" t="str">
        <x:v>United States</x:v>
      </x:c>
      <x:c r="I10" s="14" t="str">
        <x:v>https://kni.faculty.chemistry.harvard.edu/dual-species-atom-quantum-simulator</x:v>
      </x:c>
      <x:c r="J10" s="14" t="str">
        <x:v>high</x:v>
      </x:c>
      <x:c r="K10" s="14" t="str">
        <x:v>promote</x:v>
      </x:c>
      <x:c r="L10" s="14" t="str">
        <x:v>E-052</x:v>
      </x:c>
      <x:c r="M10" s="14" t="str">
        <x:v>promoted_A</x:v>
      </x:c>
      <x:c r="N10" s="14" t="str">
        <x:v>Official group page and 2026 arXiv confirm Rydberg + co-localized optical tweezers.</x:v>
      </x:c>
      <x:c r="O10" s="14" t="str">
        <x:v>Avoid duplicate counting with Harvard/Lukin and Bernien rows.</x:v>
      </x:c>
    </x:row>
    <x:row r="11">
      <x:c r="A11" s="14" t="str">
        <x:v>AFF-010</x:v>
      </x:c>
      <x:c r="B11" s="14" t="str">
        <x:v>Thomas Bilitewski</x:v>
      </x:c>
      <x:c r="C11" s="14" t="str">
        <x:v>2605.00096</x:v>
      </x:c>
      <x:c r="D11" s="14" t="str">
        <x:v>Spin-nematic squeezing in dipole-interacting Rydberg atom arrays</x:v>
      </x:c>
      <x:c r="E11" s="14" t="str">
        <x:v>Oklahoma State University email/domain from arXiv HTML</x:v>
      </x:c>
      <x:c r="F11" s="14" t="str">
        <x:v>Oklahoma State University</x:v>
      </x:c>
      <x:c r="G11" s="14" t="str">
        <x:v>Stillwater</x:v>
      </x:c>
      <x:c r="H11" s="14" t="str">
        <x:v>United States</x:v>
      </x:c>
      <x:c r="I11" s="14" t="str">
        <x:v>https://arxiv.org/html/2605.00096v1</x:v>
      </x:c>
      <x:c r="J11" s="14" t="str">
        <x:v>medium</x:v>
      </x:c>
      <x:c r="K11" s="14" t="str">
        <x:v>promote_adjacent</x:v>
      </x:c>
      <x:c r="L11" s="14" t="str">
        <x:v>E-053</x:v>
      </x:c>
      <x:c r="M11" s="14" t="str">
        <x:v>promoted_C</x:v>
      </x:c>
      <x:c r="N11" s="14" t="str">
        <x:v>Relevant but adjacent metrology/theory node.</x:v>
      </x:c>
      <x:c r="O11" s="14" t="str">
        <x:v>Find official profile; confirm department.</x:v>
      </x:c>
    </x:row>
    <x:row r="12">
      <x:c r="A12" s="14" t="str">
        <x:v>AFF-011</x:v>
      </x:c>
      <x:c r="B12" s="14" t="str">
        <x:v>Igor Lesanovsky</x:v>
      </x:c>
      <x:c r="C12" s="14" t="str">
        <x:v>2506.09865</x:v>
      </x:c>
      <x:c r="D12" s="14" t="str">
        <x:v>Rydberg atom arrays as simulators for molecular dynamics</x:v>
      </x:c>
      <x:c r="E12" s="14" t="str">
        <x:v>University of Tübingen</x:v>
      </x:c>
      <x:c r="F12" s="14" t="str">
        <x:v>University of Tübingen</x:v>
      </x:c>
      <x:c r="G12" s="14" t="str">
        <x:v>Tübingen</x:v>
      </x:c>
      <x:c r="H12" s="14" t="str">
        <x:v>Germany</x:v>
      </x:c>
      <x:c r="I12" s="14" t="str">
        <x:v>https://arxiv.org/abs/2506.09865</x:v>
      </x:c>
      <x:c r="J12" s="14" t="str">
        <x:v>medium-high</x:v>
      </x:c>
      <x:c r="K12" s="14" t="str">
        <x:v>update_existing</x:v>
      </x:c>
      <x:c r="L12" s="14" t="str">
        <x:v>E-017</x:v>
      </x:c>
      <x:c r="M12" s="14" t="str">
        <x:v>existing_updated_candidate</x:v>
      </x:c>
      <x:c r="N12" s="14" t="str">
        <x:v>Existing DB row E-017 already present; affiliation normalized from known row and source.</x:v>
      </x:c>
      <x:c r="O12" s="14" t="str">
        <x:v>Find official current Tübingen group page.</x:v>
      </x:c>
    </x:row>
    <x:row r="13">
      <x:c r="A13" s="14" t="str">
        <x:v>AFF-012</x:v>
      </x:c>
      <x:c r="B13" s="14" t="str">
        <x:v>Guido Pupillo</x:v>
      </x:c>
      <x:c r="C13" s="14" t="str">
        <x:v>2405.16621; 2507.06096</x:v>
      </x:c>
      <x:c r="D13" s="14" t="str">
        <x:v>Surface-code / low-depth QEC with Rydberg gates</x:v>
      </x:c>
      <x:c r="E13" s="14" t="str">
        <x:v>Université de Strasbourg / CNRS / CESQ</x:v>
      </x:c>
      <x:c r="F13" s="14" t="str">
        <x:v>University of Strasbourg / CNRS / CESQ</x:v>
      </x:c>
      <x:c r="G13" s="14" t="str">
        <x:v>Strasbourg</x:v>
      </x:c>
      <x:c r="H13" s="14" t="str">
        <x:v>France</x:v>
      </x:c>
      <x:c r="I13" s="14" t="str">
        <x:v>https://isis.unistra.fr/en/cesq/pupillo-quantum-physics/</x:v>
      </x:c>
      <x:c r="J13" s="14" t="str">
        <x:v>high</x:v>
      </x:c>
      <x:c r="K13" s="14" t="str">
        <x:v>merge_existing</x:v>
      </x:c>
      <x:c r="L13" s="14" t="str">
        <x:v>E-034</x:v>
      </x:c>
      <x:c r="M13" s="14" t="str">
        <x:v>existing_verified</x:v>
      </x:c>
      <x:c r="N13" s="14" t="str">
        <x:v>Existing DB row E-034 already present; official CESQ page verifies affiliation.</x:v>
      </x:c>
      <x:c r="O13" s="14" t="str">
        <x:v>Add 2024/2025 papers to key_papers later.</x:v>
      </x:c>
    </x:row>
    <x:row r="14">
      <x:c r="A14" s="14" t="str">
        <x:v>AFF-013</x:v>
      </x:c>
      <x:c r="B14" s="14" t="str">
        <x:v>Vittorio Vitale</x:v>
      </x:c>
      <x:c r="C14" s="14" t="str">
        <x:v>2508.06130</x:v>
      </x:c>
      <x:c r="D14" s="14" t="str">
        <x:v>Quantum optimization on Rydberg arrays with arbitrary connectivity</x:v>
      </x:c>
      <x:c r="E14" s="14" t="str">
        <x:v>PASQAL</x:v>
      </x:c>
      <x:c r="F14" s="14" t="str">
        <x:v>PASQAL</x:v>
      </x:c>
      <x:c r="G14" s="14" t="str">
        <x:v>Palaiseau / Massy</x:v>
      </x:c>
      <x:c r="H14" s="14" t="str">
        <x:v>France</x:v>
      </x:c>
      <x:c r="I14" s="14" t="str">
        <x:v>https://link.aps.org/doi/10.1103/3sjz-gfmr</x:v>
      </x:c>
      <x:c r="J14" s="14" t="str">
        <x:v>medium-high</x:v>
      </x:c>
      <x:c r="K14" s="14" t="str">
        <x:v>merge_company</x:v>
      </x:c>
      <x:c r="L14" s="14" t="str">
        <x:v>E-018</x:v>
      </x:c>
      <x:c r="M14" s="14" t="str">
        <x:v>merged_to_PASQAL</x:v>
      </x:c>
      <x:c r="N14" s="14" t="str">
        <x:v>Software/application result belongs under PASQAL rather than new lab row.</x:v>
      </x:c>
      <x:c r="O14" s="14" t="str">
        <x:v>Could later create sub-row for software/application if page needs people-level entries.</x:v>
      </x:c>
    </x:row>
    <x:row r="15">
      <x:c r="A15" s="14" t="str">
        <x:v>AFF-014</x:v>
      </x:c>
      <x:c r="B15" s="14" t="str">
        <x:v>Helmut G. Katzgraber</x:v>
      </x:c>
      <x:c r="C15" s="14" t="str">
        <x:v>2412.14976</x:v>
      </x:c>
      <x:c r="D15" s="14" t="str">
        <x:v>Quantum Compilation Toolkit for Rydberg Atom Arrays</x:v>
      </x:c>
      <x:c r="E15" s="14" t="str">
        <x:v>AWS/JPMorgan collaboration, exact lead affiliation unclear</x:v>
      </x:c>
      <x:c r="F15" s="14" t="str">
        <x:v>Institution pending</x:v>
      </x:c>
      <x:c r="G15" s="14"/>
      <x:c r="H15" s="14"/>
      <x:c r="I15" s="14" t="str">
        <x:v>https://arxiv.org/abs/2412.14976</x:v>
      </x:c>
      <x:c r="J15" s="14" t="str">
        <x:v>medium</x:v>
      </x:c>
      <x:c r="K15" s="14" t="str">
        <x:v>keep_candidate</x:v>
      </x:c>
      <x:c r="L15" s="14"/>
      <x:c r="M15" s="14" t="str">
        <x:v>not_promoted</x:v>
      </x:c>
      <x:c r="N15" s="14" t="str">
        <x:v>Paper is relevant, but entity could be collaboration rather than PI lab.</x:v>
      </x:c>
      <x:c r="O15" s="14" t="str">
        <x:v>Resolve affiliations from PDF and decide company/software node.</x:v>
      </x:c>
    </x:row>
    <x:row r="16">
      <x:c r="A16" s="14" t="str">
        <x:v>AFF-015</x:v>
      </x:c>
      <x:c r="B16" s="14" t="str">
        <x:v>Xiangliang Li</x:v>
      </x:c>
      <x:c r="C16" s="14" t="str">
        <x:v>2408.16274</x:v>
      </x:c>
      <x:c r="D16" s="14" t="str">
        <x:v>Robust CZ gates via echoing RAP</x:v>
      </x:c>
      <x:c r="E16" s="14" t="str">
        <x:v>BAQIS indicated by third-party index; exact affiliation needs PDF/source</x:v>
      </x:c>
      <x:c r="F16" s="14" t="str">
        <x:v>Beijing Academy of Quantum Information Sciences?</x:v>
      </x:c>
      <x:c r="G16" s="14" t="str">
        <x:v>Beijing</x:v>
      </x:c>
      <x:c r="H16" s="14" t="str">
        <x:v>China</x:v>
      </x:c>
      <x:c r="I16" s="14" t="str">
        <x:v>https://arxiv.org/abs/2408.16274</x:v>
      </x:c>
      <x:c r="J16" s="14" t="str">
        <x:v>medium</x:v>
      </x:c>
      <x:c r="K16" s="14" t="str">
        <x:v>keep_candidate</x:v>
      </x:c>
      <x:c r="L16" s="14"/>
      <x:c r="M16" s="14" t="str">
        <x:v>not_promoted</x:v>
      </x:c>
      <x:c r="N16" s="14" t="str">
        <x:v>Relevant Rydberg gate theory; not promoted until institutional source is firm.</x:v>
      </x:c>
      <x:c r="O16" s="14" t="str">
        <x:v>Open PDF/source and verify all author affiliations.</x:v>
      </x:c>
    </x:row>
    <x:row r="17">
      <x:c r="A17" s="14" t="str">
        <x:v>AFF-016</x:v>
      </x:c>
      <x:c r="B17" s="14" t="str">
        <x:v>Heng Shen</x:v>
      </x:c>
      <x:c r="C17" s="14" t="str">
        <x:v>2504.19214</x:v>
      </x:c>
      <x:c r="D17" s="14" t="str">
        <x:v>Rapid passage to ordered states in Rydberg atom arrays</x:v>
      </x:c>
      <x:c r="E17" s="14" t="str">
        <x:v>Institution unresolved</x:v>
      </x:c>
      <x:c r="F17" s="14" t="str">
        <x:v>Institution pending</x:v>
      </x:c>
      <x:c r="G17" s="14"/>
      <x:c r="H17" s="14"/>
      <x:c r="I17" s="14" t="str">
        <x:v>https://arxiv.org/abs/2504.19214</x:v>
      </x:c>
      <x:c r="J17" s="14" t="str">
        <x:v>low-medium</x:v>
      </x:c>
      <x:c r="K17" s="14" t="str">
        <x:v>keep_candidate</x:v>
      </x:c>
      <x:c r="L17" s="14"/>
      <x:c r="M17" s="14" t="str">
        <x:v>not_promoted</x:v>
      </x:c>
      <x:c r="N17" s="14" t="str">
        <x:v>Relevant theory and Aquila validation, but affiliation not resolved yet.</x:v>
      </x:c>
      <x:c r="O17" s="14" t="str">
        <x:v>Resolve via PDF/OpenAlex/Semantic Scholar.</x:v>
      </x:c>
    </x:row>
    <x:row r="18">
      <x:c r="A18" s="14" t="str">
        <x:v>AFF-017</x:v>
      </x:c>
      <x:c r="B18" s="14" t="str">
        <x:v>Servaas Kokkelmans</x:v>
      </x:c>
      <x:c r="C18" s="14" t="str">
        <x:v>2409.04324</x:v>
      </x:c>
      <x:c r="D18" s="14" t="str">
        <x:v>Neutral-atom CSS codes / logical qubit fidelities</x:v>
      </x:c>
      <x:c r="E18" s="14" t="str">
        <x:v>Eindhoven University of Technology</x:v>
      </x:c>
      <x:c r="F18" s="14" t="str">
        <x:v>Eindhoven University of Technology</x:v>
      </x:c>
      <x:c r="G18" s="14" t="str">
        <x:v>Eindhoven</x:v>
      </x:c>
      <x:c r="H18" s="14" t="str">
        <x:v>Netherlands</x:v>
      </x:c>
      <x:c r="I18" s="14" t="str">
        <x:v>https://arxiv.org/abs/2409.04324</x:v>
      </x:c>
      <x:c r="J18" s="14" t="str">
        <x:v>medium-high</x:v>
      </x:c>
      <x:c r="K18" s="14" t="str">
        <x:v>fix_match</x:v>
      </x:c>
      <x:c r="L18" s="14" t="str">
        <x:v>E-010</x:v>
      </x:c>
      <x:c r="M18" s="14" t="str">
        <x:v>matched_existing</x:v>
      </x:c>
      <x:c r="N18" s="14" t="str">
        <x:v>Aggregate row had wrong E-018/PASQAL match; should match E-010.</x:v>
      </x:c>
      <x:c r="O18" s="14" t="str">
        <x:v>Patch aggregate match.</x:v>
      </x:c>
    </x:row>
    <x:row r="19">
      <x:c r="A19" s="14" t="str">
        <x:v>AFF-018</x:v>
      </x:c>
      <x:c r="B19" s="14" t="str">
        <x:v>Waseem S. Bakr</x:v>
      </x:c>
      <x:c r="C19" s="14" t="str">
        <x:v>2602.05959</x:v>
      </x:c>
      <x:c r="D19" s="14" t="str">
        <x:v>Extended Rydberg lifetimes in a cryogenic atom array</x:v>
      </x:c>
      <x:c r="E19" s="14" t="str">
        <x:v>Princeton University</x:v>
      </x:c>
      <x:c r="F19" s="14" t="str">
        <x:v>Princeton University</x:v>
      </x:c>
      <x:c r="G19" s="14" t="str">
        <x:v>Princeton</x:v>
      </x:c>
      <x:c r="H19" s="14" t="str">
        <x:v>United States</x:v>
      </x:c>
      <x:c r="I19" s="14" t="str">
        <x:v>https://arxiv.org/abs/2602.05959</x:v>
      </x:c>
      <x:c r="J19" s="14" t="str">
        <x:v>medium</x:v>
      </x:c>
      <x:c r="K19" s="14" t="str">
        <x:v>keep_candidate</x:v>
      </x:c>
      <x:c r="L19" s="14"/>
      <x:c r="M19" s="14" t="str">
        <x:v>not_promoted</x:v>
      </x:c>
      <x:c r="N19" s="14" t="str">
        <x:v>Could be a new experimental node, but needs webpage and scope check.</x:v>
      </x:c>
      <x:c r="O19" s="14" t="str">
        <x:v>Validate whether core Rydberg-tweezer array lab separate from Thompson.</x:v>
      </x:c>
    </x:row>
    <x:row r="20" ht="44" customHeight="1">
      <x:c r="A20" s="15" t="str">
        <x:v>AFF-019</x:v>
      </x:c>
      <x:c r="B20" s="15" t="str">
        <x:v>Helmut G. Katzgraber</x:v>
      </x:c>
      <x:c r="C20" s="15" t="str">
        <x:v>2412.14976</x:v>
      </x:c>
      <x:c r="D20" s="15" t="str">
        <x:v>Quantum Compilation Toolkit for Rydberg Atom Arrays</x:v>
      </x:c>
      <x:c r="E20" s="15" t="str">
        <x:v>Amazon Advanced Solutions Lab, Seattle</x:v>
      </x:c>
      <x:c r="F20" s="15" t="str">
        <x:v>Amazon Advanced Solutions Lab / AWS</x:v>
      </x:c>
      <x:c r="G20" s="15" t="str">
        <x:v>Seattle</x:v>
      </x:c>
      <x:c r="H20" s="15" t="str">
        <x:v>United States</x:v>
      </x:c>
      <x:c r="I20" s="15" t="str">
        <x:v>https://arxiv.org/html/2412.14976v1</x:v>
      </x:c>
      <x:c r="J20" s="15" t="str">
        <x:v>high</x:v>
      </x:c>
      <x:c r="K20" s="15" t="str">
        <x:v>promote</x:v>
      </x:c>
      <x:c r="L20" s="15" t="str">
        <x:v>E-054</x:v>
      </x:c>
      <x:c r="M20" s="15" t="str">
        <x:v>promoted_v1_0</x:v>
      </x:c>
      <x:c r="N20" s="15" t="str">
        <x:v>Affiliation appears directly in arXiv HTML; role is software/compilation, not hardware.</x:v>
      </x:c>
      <x:c r="O20" s="15" t="str">
        <x:v>Decide if AWS/JPMorgan nodes should be split.</x:v>
      </x:c>
    </x:row>
    <x:row r="21" ht="44" customHeight="1">
      <x:c r="A21" s="15" t="str">
        <x:v>AFF-020</x:v>
      </x:c>
      <x:c r="B21" s="15" t="str">
        <x:v>Heng Shen</x:v>
      </x:c>
      <x:c r="C21" s="15" t="str">
        <x:v>2504.19214; 2025 NSR review</x:v>
      </x:c>
      <x:c r="D21" s="15" t="str">
        <x:v>Rapid passage to ordered states / metrology with neutral atom arrays</x:v>
      </x:c>
      <x:c r="E21" s="15" t="str">
        <x:v>Shanxi University</x:v>
      </x:c>
      <x:c r="F21" s="15" t="str">
        <x:v>Shanxi University</x:v>
      </x:c>
      <x:c r="G21" s="15" t="str">
        <x:v>Taiyuan</x:v>
      </x:c>
      <x:c r="H21" s="15" t="str">
        <x:v>China</x:v>
      </x:c>
      <x:c r="I21" s="15" t="str">
        <x:v>https://ioe.sxu.edu.cn/sys/labs14/Team14/index.htm</x:v>
      </x:c>
      <x:c r="J21" s="15" t="str">
        <x:v>high</x:v>
      </x:c>
      <x:c r="K21" s="15" t="str">
        <x:v>promote</x:v>
      </x:c>
      <x:c r="L21" s="15" t="str">
        <x:v>E-055</x:v>
      </x:c>
      <x:c r="M21" s="15" t="str">
        <x:v>promoted_v1_0</x:v>
      </x:c>
      <x:c r="N21" s="15" t="str">
        <x:v>Official lab page lists Heng Shen as PI; direct hardware ownership still unclear.</x:v>
      </x:c>
      <x:c r="O21" s="15" t="str">
        <x:v>Check experimental setup vs QuEra Aquila/cloud usage.</x:v>
      </x:c>
    </x:row>
    <x:row r="22" ht="44" customHeight="1">
      <x:c r="A22" s="15" t="str">
        <x:v>AFF-021</x:v>
      </x:c>
      <x:c r="B22" s="15" t="str">
        <x:v>Xiangliang Li</x:v>
      </x:c>
      <x:c r="C22" s="15" t="str">
        <x:v>candidate papers</x:v>
      </x:c>
      <x:c r="D22" s="15" t="str">
        <x:v>Rydberg-gate/cold-atom theory candidate</x:v>
      </x:c>
      <x:c r="E22" s="15" t="str">
        <x:v>Beijing Academy of Quantum Information Sciences</x:v>
      </x:c>
      <x:c r="F22" s="15" t="str">
        <x:v>BAQIS</x:v>
      </x:c>
      <x:c r="G22" s="15" t="str">
        <x:v>Beijing</x:v>
      </x:c>
      <x:c r="H22" s="15" t="str">
        <x:v>China</x:v>
      </x:c>
      <x:c r="I22" s="15" t="str">
        <x:v>https://en.baqis.ac.cn/people/detail/?cid=1291</x:v>
      </x:c>
      <x:c r="J22" s="15" t="str">
        <x:v>medium</x:v>
      </x:c>
      <x:c r="K22" s="15" t="str">
        <x:v>promote_cautiously</x:v>
      </x:c>
      <x:c r="L22" s="15" t="str">
        <x:v>E-056</x:v>
      </x:c>
      <x:c r="M22" s="15" t="str">
        <x:v>promoted_v1_0_C</x:v>
      </x:c>
      <x:c r="N22" s="15" t="str">
        <x:v>Affiliation found; relevance remains adjacent until direct tweezer-array evidence is stronger.</x:v>
      </x:c>
      <x:c r="O22" s="15" t="str">
        <x:v>Keep C unless future direct arXiv hits appear.</x:v>
      </x:c>
    </x:row>
    <x:row r="23" ht="44" customHeight="1">
      <x:c r="A23" s="15" t="str">
        <x:v>AFF-022</x:v>
      </x:c>
      <x:c r="B23" s="15" t="str">
        <x:v>Waseem S. Bakr</x:v>
      </x:c>
      <x:c r="C23" s="15" t="str">
        <x:v>2602.05959</x:v>
      </x:c>
      <x:c r="D23" s="15" t="str">
        <x:v>Extended Rydberg Lifetimes in a Cryogenic Atom Array</x:v>
      </x:c>
      <x:c r="E23" s="15" t="str">
        <x:v>Princeton University</x:v>
      </x:c>
      <x:c r="F23" s="15" t="str">
        <x:v>Princeton University</x:v>
      </x:c>
      <x:c r="G23" s="15" t="str">
        <x:v>Princeton</x:v>
      </x:c>
      <x:c r="H23" s="15" t="str">
        <x:v>United States</x:v>
      </x:c>
      <x:c r="I23" s="15" t="str">
        <x:v>https://phy.princeton.edu/people/waseem-bakr</x:v>
      </x:c>
      <x:c r="J23" s="15" t="str">
        <x:v>high</x:v>
      </x:c>
      <x:c r="K23" s="15" t="str">
        <x:v>promote</x:v>
      </x:c>
      <x:c r="L23" s="15" t="str">
        <x:v>E-057</x:v>
      </x:c>
      <x:c r="M23" s="15" t="str">
        <x:v>promoted_v1_0</x:v>
      </x:c>
      <x:c r="N23" s="15" t="str">
        <x:v>Official Princeton page lists Rydberg atoms among interests; arXiv paper confirms Cs tweezer array with Rydberg manipulation.</x:v>
      </x:c>
      <x:c r="O23" s="15" t="str">
        <x:v>Validate exact lab page and trap species details.</x:v>
      </x:c>
    </x:row>
    <x:row r="24" ht="44" customHeight="1">
      <x:c r="A24" s="15" t="str">
        <x:v>AFF-023</x:v>
      </x:c>
      <x:c r="B24" s="15" t="str">
        <x:v>Lin Li</x:v>
      </x:c>
      <x:c r="C24" s="15" t="str">
        <x:v>2410.15455; 2512.05413</x:v>
      </x:c>
      <x:c r="D24" s="15" t="str">
        <x:v>Rydberg atom array dynamics and microwave electrometry</x:v>
      </x:c>
      <x:c r="E24" s="15" t="str">
        <x:v>Huazhong University of Science and Technology</x:v>
      </x:c>
      <x:c r="F24" s="15" t="str">
        <x:v>Huazhong University of Science and Technology</x:v>
      </x:c>
      <x:c r="G24" s="15" t="str">
        <x:v>Wuhan</x:v>
      </x:c>
      <x:c r="H24" s="15" t="str">
        <x:v>China</x:v>
      </x:c>
      <x:c r="I24" s="15" t="str">
        <x:v>https://www.linlilab.cn/</x:v>
      </x:c>
      <x:c r="J24" s="15" t="str">
        <x:v>high</x:v>
      </x:c>
      <x:c r="K24" s="15" t="str">
        <x:v>promote</x:v>
      </x:c>
      <x:c r="L24" s="15" t="str">
        <x:v>E-058</x:v>
      </x:c>
      <x:c r="M24" s="15" t="str">
        <x:v>promoted_v1_0</x:v>
      </x:c>
      <x:c r="N24" s="15" t="str">
        <x:v>Official lab page states Rydberg atom focus; arXiv confirms Rydberg atom array work.</x:v>
      </x:c>
      <x:c r="O24" s="15" t="str">
        <x:v>Extract exact species and institution line from PDFs.</x:v>
      </x:c>
    </x:row>
    <x:row r="25" ht="44" customHeight="1">
      <x:c r="A25" s="15" t="str">
        <x:v>AFF-024</x:v>
      </x:c>
      <x:c r="B25" s="15" t="str">
        <x:v>Li You</x:v>
      </x:c>
      <x:c r="C25" s="15" t="str">
        <x:v>2410.16174</x:v>
      </x:c>
      <x:c r="D25" s="15" t="str">
        <x:v>Observation of anomalous information scrambling in a Rydberg atom array</x:v>
      </x:c>
      <x:c r="E25" s="15" t="str">
        <x:v>National University of Singapore / CQT</x:v>
      </x:c>
      <x:c r="F25" s="15" t="str">
        <x:v>National University of Singapore / CQT</x:v>
      </x:c>
      <x:c r="G25" s="15" t="str">
        <x:v>Singapore</x:v>
      </x:c>
      <x:c r="H25" s="15" t="str">
        <x:v>Singapore</x:v>
      </x:c>
      <x:c r="I25" s="15" t="str">
        <x:v>https://arxiv.org/abs/2410.16174</x:v>
      </x:c>
      <x:c r="J25" s="15" t="str">
        <x:v>medium-high</x:v>
      </x:c>
      <x:c r="K25" s="15" t="str">
        <x:v>promote_cautiously</x:v>
      </x:c>
      <x:c r="L25" s="15" t="str">
        <x:v>E-059</x:v>
      </x:c>
      <x:c r="M25" s="15" t="str">
        <x:v>promoted_v1_0_B</x:v>
      </x:c>
      <x:c r="N25" s="15" t="str">
        <x:v>Paper is core; institutional grouping needs cleanup to avoid double-counting NUS/CQT atom-array teams.</x:v>
      </x:c>
      <x:c r="O25" s="15" t="str">
        <x:v>Resolve primary PI/lab node.</x:v>
      </x:c>
    </x:row>
  </x:sheetData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56.75" hidden="0" customWidth="1"/>
    <x:col min="3" max="3" width="12.130000114440918" hidden="0" customWidth="1"/>
    <x:col min="4" max="4" width="8.880000114440918" hidden="0" customWidth="1"/>
    <x:col min="7" max="7" width="57.130001068115234" hidden="0" customWidth="1"/>
    <x:col min="8" max="8" width="89.75" hidden="0" customWidth="1"/>
    <x:col min="15" max="15" width="103" hidden="0" customWidth="1"/>
    <x:col min="17" max="17" width="82.5" hidden="0" customWidth="1"/>
    <x:col min="20" max="20" width="149.8800048828125" hidden="0" customWidth="1"/>
    <x:col min="21" max="21" width="125.75" hidden="0" customWidth="1"/>
    <x:col min="22" max="22" width="214.5" hidden="0" customWidth="1"/>
    <x:col min="5" max="5" width="10.880000114440918" hidden="0" customWidth="1"/>
    <x:col min="6" max="6" width="17" hidden="0" customWidth="1"/>
    <x:col min="11" max="11" width="13.75" hidden="0" customWidth="1"/>
    <x:col min="12" max="12" width="6.630000114440918" hidden="0" customWidth="1"/>
    <x:col min="13" max="13" width="8.130000114440918" hidden="0" customWidth="1"/>
    <x:col min="14" max="14" width="8.630000114440918" hidden="0" customWidth="1"/>
    <x:col min="16" max="16" width="22" hidden="0" customWidth="1"/>
    <x:col min="18" max="18" width="16" hidden="0" customWidth="1"/>
    <x:col min="19" max="19" width="10.880000114440918" hidden="0" customWidth="1"/>
    <x:col min="9" max="9" width="18.6299991607666" hidden="0" customWidth="1"/>
    <x:col min="10" max="10" width="18.5" hidden="0" customWidth="1"/>
  </x:cols>
  <x:sheetData>
    <x:row r="1">
      <x:c r="A1" s="195" t="str">
        <x:v>entry_id</x:v>
      </x:c>
      <x:c r="B1" s="195" t="str">
        <x:v>name</x:v>
      </x:c>
      <x:c r="C1" s="195" t="str">
        <x:v>entity_type</x:v>
      </x:c>
      <x:c r="D1" s="195" t="str">
        <x:v>confidence</x:v>
      </x:c>
      <x:c r="E1" s="195" t="str">
        <x:v>status</x:v>
      </x:c>
      <x:c r="F1" s="195" t="str">
        <x:v>core_relevance_score</x:v>
      </x:c>
      <x:c r="G1" s="195" t="str">
        <x:v>PI_or_leads</x:v>
      </x:c>
      <x:c r="H1" s="195" t="str">
        <x:v>institution</x:v>
      </x:c>
      <x:c r="I1" s="195" t="str">
        <x:v>city</x:v>
      </x:c>
      <x:c r="J1" s="195" t="str">
        <x:v>region_state</x:v>
      </x:c>
      <x:c r="K1" s="195" t="str">
        <x:v>country</x:v>
      </x:c>
      <x:c r="L1" s="195" t="str">
        <x:v>latitude</x:v>
      </x:c>
      <x:c r="M1" s="195" t="str">
        <x:v>longitude</x:v>
      </x:c>
      <x:c r="N1" s="195" t="str">
        <x:v>map_layer</x:v>
      </x:c>
      <x:c r="O1" s="195" t="str">
        <x:v>platform_tags</x:v>
      </x:c>
      <x:c r="P1" s="195" t="str">
        <x:v>species</x:v>
      </x:c>
      <x:c r="Q1" s="195" t="str">
        <x:v>rydberg_role</x:v>
      </x:c>
      <x:c r="R1" s="195" t="str">
        <x:v>experimental_mode</x:v>
      </x:c>
      <x:c r="S1" s="195" t="str">
        <x:v>theory_mode</x:v>
      </x:c>
      <x:c r="T1" s="195" t="str">
        <x:v>website</x:v>
      </x:c>
      <x:c r="U1" s="195" t="str">
        <x:v>source_url_1</x:v>
      </x:c>
      <x:c r="V1" s="195" t="str">
        <x:v>notes</x:v>
      </x:c>
    </x:row>
    <x:row r="2">
      <x:c r="A2" s="15" t="str">
        <x:v>E-001</x:v>
      </x:c>
      <x:c r="B2" s="15" t="str">
        <x:v>Lukin Group atom-array program</x:v>
      </x:c>
      <x:c r="C2" s="15" t="str">
        <x:v>academic</x:v>
      </x:c>
      <x:c r="D2" s="15" t="str">
        <x:v>A</x:v>
      </x:c>
      <x:c r="E2" s="15" t="str">
        <x:v>verified</x:v>
      </x:c>
      <x:c r="F2" s="15" t="n">
        <x:v>5</x:v>
      </x:c>
      <x:c r="G2" s="15" t="str">
        <x:v>Mikhail D. Lukin</x:v>
      </x:c>
      <x:c r="H2" s="15" t="str">
        <x:v>Harvard University</x:v>
      </x:c>
      <x:c r="I2" s="15" t="str">
        <x:v>Cambridge</x:v>
      </x:c>
      <x:c r="J2" s="15" t="str">
        <x:v>MA</x:v>
      </x:c>
      <x:c r="K2" s="15" t="str">
        <x:v>United States</x:v>
      </x:c>
      <x:c r="L2" s="15" t="n">
        <x:v>42.3736</x:v>
      </x:c>
      <x:c r="M2" s="15" t="n">
        <x:v>-71.1097</x:v>
      </x:c>
      <x:c r="N2" s="15" t="str">
        <x:v>Core A</x:v>
      </x:c>
      <x:c r="O2" s="15" t="str">
        <x:v>rydberg_array; optical_tweezers; neutral_atom_qc; quantum_simulation; qec; gates; theory</x:v>
      </x:c>
      <x:c r="P2" s="15" t="str">
        <x:v>Rb</x:v>
      </x:c>
      <x:c r="Q2" s="15" t="str">
        <x:v>gates; analog_simulation; qec; blockade</x:v>
      </x:c>
      <x:c r="R2" s="15" t="str">
        <x:v>mixed</x:v>
      </x:c>
      <x:c r="S2" s="15" t="str">
        <x:v>mixed</x:v>
      </x:c>
      <x:c r="T2" s="15" t="str">
        <x:v>https://lukin.physics.harvard.edu/arrays-cold-atoms</x:v>
      </x:c>
      <x:c r="U2" s="15" t="str">
        <x:v>https://lukin.physics.harvard.edu/arrays-cold-atoms</x:v>
      </x:c>
      <x:c r="V2" s="15" t="str">
        <x:v>Core benchmark group: official page explicitly states Rb-87 atoms in optical tweezers and Rydberg excitation.</x:v>
      </x:c>
    </x:row>
    <x:row r="3">
      <x:c r="A3" s="15" t="str">
        <x:v>E-002</x:v>
      </x:c>
      <x:c r="B3" s="15" t="str">
        <x:v>Quantum Optics - Atoms team</x:v>
      </x:c>
      <x:c r="C3" s="15" t="str">
        <x:v>academic</x:v>
      </x:c>
      <x:c r="D3" s="15" t="str">
        <x:v>A</x:v>
      </x:c>
      <x:c r="E3" s="15" t="str">
        <x:v>verified</x:v>
      </x:c>
      <x:c r="F3" s="15" t="n">
        <x:v>5</x:v>
      </x:c>
      <x:c r="G3" s="15" t="str">
        <x:v>Antoine Browaeys; Thierry Lahaye</x:v>
      </x:c>
      <x:c r="H3" s="15" t="str">
        <x:v>Institut d'Optique Graduate School / Laboratoire Charles Fabry</x:v>
      </x:c>
      <x:c r="I3" s="15" t="str">
        <x:v>Palaiseau</x:v>
      </x:c>
      <x:c r="J3" s="15" t="str">
        <x:v>Île-de-France</x:v>
      </x:c>
      <x:c r="K3" s="15" t="str">
        <x:v>France</x:v>
      </x:c>
      <x:c r="L3" s="15" t="n">
        <x:v>48.713</x:v>
      </x:c>
      <x:c r="M3" s="15" t="n">
        <x:v>2.207</x:v>
      </x:c>
      <x:c r="N3" s="15" t="str">
        <x:v>Core A</x:v>
      </x:c>
      <x:c r="O3" s="15" t="str">
        <x:v>rydberg_array; optical_tweezers; quantum_simulation; neutral_atom_qc; gates</x:v>
      </x:c>
      <x:c r="P3" s="15" t="str">
        <x:v>Rb</x:v>
      </x:c>
      <x:c r="Q3" s="15" t="str">
        <x:v>analog_simulation; gates; blockade; dressing</x:v>
      </x:c>
      <x:c r="R3" s="15" t="str">
        <x:v>mixed</x:v>
      </x:c>
      <x:c r="S3" s="15" t="str">
        <x:v>mixed</x:v>
      </x:c>
      <x:c r="T3" s="15" t="str">
        <x:v>https://atom-tweezers-io.org/</x:v>
      </x:c>
      <x:c r="U3" s="15" t="str">
        <x:v>https://atom-tweezers-io.org/</x:v>
      </x:c>
      <x:c r="V3" s="15" t="str">
        <x:v>Core French/Palaiseau node; strong link to PASQAL origins and continuing Rydberg-tweezer research.</x:v>
      </x:c>
    </x:row>
    <x:row r="4">
      <x:c r="A4" s="15" t="str">
        <x:v>E-003</x:v>
      </x:c>
      <x:c r="B4" s="15" t="str">
        <x:v>Thompson Lab</x:v>
      </x:c>
      <x:c r="C4" s="15" t="str">
        <x:v>academic</x:v>
      </x:c>
      <x:c r="D4" s="15" t="str">
        <x:v>A</x:v>
      </x:c>
      <x:c r="E4" s="15" t="str">
        <x:v>verified</x:v>
      </x:c>
      <x:c r="F4" s="15" t="n">
        <x:v>5</x:v>
      </x:c>
      <x:c r="G4" s="15" t="str">
        <x:v>Jeff D. Thompson</x:v>
      </x:c>
      <x:c r="H4" s="15" t="str">
        <x:v>Princeton University</x:v>
      </x:c>
      <x:c r="I4" s="15" t="str">
        <x:v>Princeton</x:v>
      </x:c>
      <x:c r="J4" s="15" t="str">
        <x:v>NJ</x:v>
      </x:c>
      <x:c r="K4" s="15" t="str">
        <x:v>United States</x:v>
      </x:c>
      <x:c r="L4" s="15" t="n">
        <x:v>40.3431</x:v>
      </x:c>
      <x:c r="M4" s="15" t="n">
        <x:v>-74.6551</x:v>
      </x:c>
      <x:c r="N4" s="15" t="str">
        <x:v>Core A</x:v>
      </x:c>
      <x:c r="O4" s="15" t="str">
        <x:v>rydberg_array; optical_tweezers; neutral_atom_qc; gates; alkaline_earth; circular_rydberg</x:v>
      </x:c>
      <x:c r="P4" s="15" t="str">
        <x:v>Yb</x:v>
      </x:c>
      <x:c r="Q4" s="15" t="str">
        <x:v>gates; blockade; circular_rydberg; architecture</x:v>
      </x:c>
      <x:c r="R4" s="15" t="str">
        <x:v>experimental</x:v>
      </x:c>
      <x:c r="S4" s="15" t="str">
        <x:v>mixed</x:v>
      </x:c>
      <x:c r="T4" s="15" t="str">
        <x:v>https://sites.google.com/site/thompsonlabq/home</x:v>
      </x:c>
      <x:c r="U4" s="15" t="str">
        <x:v>https://sites.google.com/site/thompsonlabq/home</x:v>
      </x:c>
      <x:c r="V4" s="15" t="str">
        <x:v>Core alkaline-earth/Yb tweezer-Rydberg group; circular Rydberg line is especially relevant for long-lived qubits.</x:v>
      </x:c>
    </x:row>
    <x:row r="5">
      <x:c r="A5" s="15" t="str">
        <x:v>E-004</x:v>
      </x:c>
      <x:c r="B5" s="15" t="str">
        <x:v>Endres Lab</x:v>
      </x:c>
      <x:c r="C5" s="15" t="str">
        <x:v>academic</x:v>
      </x:c>
      <x:c r="D5" s="15" t="str">
        <x:v>A</x:v>
      </x:c>
      <x:c r="E5" s="15" t="str">
        <x:v>verified</x:v>
      </x:c>
      <x:c r="F5" s="15" t="n">
        <x:v>5</x:v>
      </x:c>
      <x:c r="G5" s="15" t="str">
        <x:v>Manuel Endres</x:v>
      </x:c>
      <x:c r="H5" s="15" t="str">
        <x:v>California Institute of Technology</x:v>
      </x:c>
      <x:c r="I5" s="15" t="str">
        <x:v>Pasadena</x:v>
      </x:c>
      <x:c r="J5" s="15" t="str">
        <x:v>CA</x:v>
      </x:c>
      <x:c r="K5" s="15" t="str">
        <x:v>United States</x:v>
      </x:c>
      <x:c r="L5" s="15" t="n">
        <x:v>34.1377</x:v>
      </x:c>
      <x:c r="M5" s="15" t="n">
        <x:v>-118.1253</x:v>
      </x:c>
      <x:c r="N5" s="15" t="str">
        <x:v>Core A</x:v>
      </x:c>
      <x:c r="O5" s="15" t="str">
        <x:v>rydberg_array; optical_tweezers; quantum_simulation; neutral_atom_qc; alkaline_earth; qec</x:v>
      </x:c>
      <x:c r="P5" s="15" t="str">
        <x:v>Sr; Rb</x:v>
      </x:c>
      <x:c r="Q5" s="15" t="str">
        <x:v>gates; analog_simulation; qec; blockade</x:v>
      </x:c>
      <x:c r="R5" s="15" t="str">
        <x:v>mixed</x:v>
      </x:c>
      <x:c r="S5" s="15" t="str">
        <x:v>mixed</x:v>
      </x:c>
      <x:c r="T5" s="15" t="str">
        <x:v>https://www.endreslab.com/</x:v>
      </x:c>
      <x:c r="U5" s="15" t="str">
        <x:v>https://www.endreslab.com/</x:v>
      </x:c>
      <x:c r="V5" s="15" t="str">
        <x:v>Core Caltech neutral-atom tweezer group; needs subclassification because not every large-array result is Rydberg-gate specific.</x:v>
      </x:c>
    </x:row>
    <x:row r="6">
      <x:c r="A6" s="15" t="str">
        <x:v>E-005</x:v>
      </x:c>
      <x:c r="B6" s="15" t="str">
        <x:v>Saffman neutral-atom/Rydberg program</x:v>
      </x:c>
      <x:c r="C6" s="15" t="str">
        <x:v>academic</x:v>
      </x:c>
      <x:c r="D6" s="15" t="str">
        <x:v>B</x:v>
      </x:c>
      <x:c r="E6" s="15" t="str">
        <x:v>needs_review</x:v>
      </x:c>
      <x:c r="F6" s="15" t="n">
        <x:v>4</x:v>
      </x:c>
      <x:c r="G6" s="15" t="str">
        <x:v>Mark Saffman</x:v>
      </x:c>
      <x:c r="H6" s="15" t="str">
        <x:v>University of Wisconsin-Madison</x:v>
      </x:c>
      <x:c r="I6" s="15" t="str">
        <x:v>Madison</x:v>
      </x:c>
      <x:c r="J6" s="15" t="str">
        <x:v>WI</x:v>
      </x:c>
      <x:c r="K6" s="15" t="str">
        <x:v>United States</x:v>
      </x:c>
      <x:c r="L6" s="15" t="n">
        <x:v>43.0731</x:v>
      </x:c>
      <x:c r="M6" s="15" t="n">
        <x:v>-89.4012</x:v>
      </x:c>
      <x:c r="N6" s="15" t="str">
        <x:v>Relevant B</x:v>
      </x:c>
      <x:c r="O6" s="15" t="str">
        <x:v>rydberg_array; neutral_atom_qc; gates; blockade; optical_tweezers</x:v>
      </x:c>
      <x:c r="P6" s="15" t="str">
        <x:v>Cs; Rb</x:v>
      </x:c>
      <x:c r="Q6" s="15" t="str">
        <x:v>gates; blockade; architecture</x:v>
      </x:c>
      <x:c r="R6" s="15" t="str">
        <x:v>experimental</x:v>
      </x:c>
      <x:c r="S6" s="15" t="str">
        <x:v>mixed</x:v>
      </x:c>
      <x:c r="T6" s="15" t="str">
        <x:v>https://www.physics.wisc.edu/</x:v>
      </x:c>
      <x:c r="U6" s="15" t="str">
        <x:v>https://arxiv.org/abs/1908.06103</x:v>
      </x:c>
      <x:c r="V6" s="15" t="str">
        <x:v>Historically central and technically relevant; official current group page still needs better source capture.</x:v>
      </x:c>
    </x:row>
    <x:row r="7">
      <x:c r="A7" s="15" t="str">
        <x:v>E-006</x:v>
      </x:c>
      <x:c r="B7" s="15" t="str">
        <x:v>Quantum Matter Interfaces group</x:v>
      </x:c>
      <x:c r="C7" s="15" t="str">
        <x:v>academic</x:v>
      </x:c>
      <x:c r="D7" s="15" t="str">
        <x:v>A</x:v>
      </x:c>
      <x:c r="E7" s="15" t="str">
        <x:v>verified</x:v>
      </x:c>
      <x:c r="F7" s="15" t="n">
        <x:v>5</x:v>
      </x:c>
      <x:c r="G7" s="15" t="str">
        <x:v>Johannes Zeiher</x:v>
      </x:c>
      <x:c r="H7" s="15" t="str">
        <x:v>Max Planck Institute of Quantum Optics / LMU Munich</x:v>
      </x:c>
      <x:c r="I7" s="15" t="str">
        <x:v>Garching / Munich</x:v>
      </x:c>
      <x:c r="J7" s="15" t="str">
        <x:v>Bavaria</x:v>
      </x:c>
      <x:c r="K7" s="15" t="str">
        <x:v>Germany</x:v>
      </x:c>
      <x:c r="L7" s="15" t="n">
        <x:v>48.2642</x:v>
      </x:c>
      <x:c r="M7" s="15" t="n">
        <x:v>11.6715</x:v>
      </x:c>
      <x:c r="N7" s="15" t="str">
        <x:v>Core A</x:v>
      </x:c>
      <x:c r="O7" s="15" t="str">
        <x:v>rydberg_array; optical_tweezers; quantum_simulation; cavities; interfaces; qec</x:v>
      </x:c>
      <x:c r="P7" s="15" t="str">
        <x:v>Rb; unknown</x:v>
      </x:c>
      <x:c r="Q7" s="15" t="str">
        <x:v>dressing; analog_simulation; interfaces; qec; blockade</x:v>
      </x:c>
      <x:c r="R7" s="15" t="str">
        <x:v>experimental</x:v>
      </x:c>
      <x:c r="S7" s="15" t="str">
        <x:v>mixed</x:v>
      </x:c>
      <x:c r="T7" s="15" t="str">
        <x:v>https://www.zeiher-lab.de/</x:v>
      </x:c>
      <x:c r="U7" s="15" t="str">
        <x:v>https://www.mpq.mpg.de/6707561/zeiher</x:v>
      </x:c>
      <x:c r="V7" s="15" t="str">
        <x:v>Official MPQ page explicitly says the group combines atomic Rydberg arrays in optical tweezers with optical resonators.</x:v>
      </x:c>
    </x:row>
    <x:row r="8">
      <x:c r="A8" s="15" t="str">
        <x:v>E-007</x:v>
      </x:c>
      <x:c r="B8" s="15" t="str">
        <x:v>Ryd-Yb tweezer array platform</x:v>
      </x:c>
      <x:c r="C8" s="15" t="str">
        <x:v>academic</x:v>
      </x:c>
      <x:c r="D8" s="15" t="str">
        <x:v>A</x:v>
      </x:c>
      <x:c r="E8" s="15" t="str">
        <x:v>verified</x:v>
      </x:c>
      <x:c r="F8" s="15" t="n">
        <x:v>5</x:v>
      </x:c>
      <x:c r="G8" s="15" t="str">
        <x:v>Johannes Zeiher / Christian Gross / MPQ team</x:v>
      </x:c>
      <x:c r="H8" s="15" t="str">
        <x:v>Max Planck Institute of Quantum Optics</x:v>
      </x:c>
      <x:c r="I8" s="15" t="str">
        <x:v>Garching</x:v>
      </x:c>
      <x:c r="J8" s="15" t="str">
        <x:v>Bavaria</x:v>
      </x:c>
      <x:c r="K8" s="15" t="str">
        <x:v>Germany</x:v>
      </x:c>
      <x:c r="L8" s="15" t="n">
        <x:v>48.2642</x:v>
      </x:c>
      <x:c r="M8" s="15" t="n">
        <x:v>11.6715</x:v>
      </x:c>
      <x:c r="N8" s="15" t="str">
        <x:v>Core A</x:v>
      </x:c>
      <x:c r="O8" s="15" t="str">
        <x:v>rydberg_array; optical_tweezers; neutral_atom_qc; alkaline_earth; qec</x:v>
      </x:c>
      <x:c r="P8" s="15" t="str">
        <x:v>Yb</x:v>
      </x:c>
      <x:c r="Q8" s="15" t="str">
        <x:v>gates; blockade; architecture</x:v>
      </x:c>
      <x:c r="R8" s="15" t="str">
        <x:v>experimental</x:v>
      </x:c>
      <x:c r="S8" s="15" t="str">
        <x:v>mixed</x:v>
      </x:c>
      <x:c r="T8" s="15" t="str">
        <x:v>https://www.mpq.mpg.de/6859879/ryd-yb-tweezer-array</x:v>
      </x:c>
      <x:c r="U8" s="15" t="str">
        <x:v>https://www.mpq.mpg.de/6859879/ryd-yb-tweezer-array</x:v>
      </x:c>
      <x:c r="V8" s="15" t="str">
        <x:v>New platform; source explicitly mentions neutral Yb atoms in optical tweezers with interactions induced via highly excited Rydberg states.</x:v>
      </x:c>
    </x:row>
    <x:row r="9">
      <x:c r="A9" s="15" t="str">
        <x:v>E-008</x:v>
      </x:c>
      <x:c r="B9" s="15" t="str">
        <x:v>Strontium Rydberg Lab</x:v>
      </x:c>
      <x:c r="C9" s="15" t="str">
        <x:v>academic</x:v>
      </x:c>
      <x:c r="D9" s="15" t="str">
        <x:v>B</x:v>
      </x:c>
      <x:c r="E9" s="15" t="str">
        <x:v>verified</x:v>
      </x:c>
      <x:c r="F9" s="15" t="n">
        <x:v>4</x:v>
      </x:c>
      <x:c r="G9" s="15" t="str">
        <x:v>Immanuel Bloch / Munich Quantum Optics group</x:v>
      </x:c>
      <x:c r="H9" s="15" t="str">
        <x:v>LMU Munich / MPQ</x:v>
      </x:c>
      <x:c r="I9" s="15" t="str">
        <x:v>Munich</x:v>
      </x:c>
      <x:c r="J9" s="15" t="str">
        <x:v>Bavaria</x:v>
      </x:c>
      <x:c r="K9" s="15" t="str">
        <x:v>Germany</x:v>
      </x:c>
      <x:c r="L9" s="15" t="n">
        <x:v>48.15</x:v>
      </x:c>
      <x:c r="M9" s="15" t="n">
        <x:v>11.58</x:v>
      </x:c>
      <x:c r="N9" s="15" t="str">
        <x:v>Relevant B</x:v>
      </x:c>
      <x:c r="O9" s="15" t="str">
        <x:v>rydberg_array; optical_tweezers; optical_lattice; quantum_simulation; alkaline_earth</x:v>
      </x:c>
      <x:c r="P9" s="15" t="str">
        <x:v>Sr</x:v>
      </x:c>
      <x:c r="Q9" s="15" t="str">
        <x:v>analog_simulation; dressing; blockade</x:v>
      </x:c>
      <x:c r="R9" s="15" t="str">
        <x:v>experimental</x:v>
      </x:c>
      <x:c r="S9" s="15" t="str">
        <x:v>mixed</x:v>
      </x:c>
      <x:c r="T9" s="15" t="str">
        <x:v>https://www.quantum-munich.de/238106/Strontium-Rydberg-lab</x:v>
      </x:c>
      <x:c r="U9" s="15" t="str">
        <x:v>https://www.quantum-munich.de/238106/Strontium-Rydberg-lab</x:v>
      </x:c>
      <x:c r="V9" s="15" t="str">
        <x:v>Relevant but mixed lattice/tweezer emphasis, so not pure tweezer-array core.</x:v>
      </x:c>
    </x:row>
    <x:row r="10">
      <x:c r="A10" s="15" t="str">
        <x:v>E-009</x:v>
      </x:c>
      <x:c r="B10" s="15" t="str">
        <x:v>Sr Rydberg tweezers platform</x:v>
      </x:c>
      <x:c r="C10" s="15" t="str">
        <x:v>academic</x:v>
      </x:c>
      <x:c r="D10" s="15" t="str">
        <x:v>A</x:v>
      </x:c>
      <x:c r="E10" s="15" t="str">
        <x:v>verified</x:v>
      </x:c>
      <x:c r="F10" s="15" t="n">
        <x:v>5</x:v>
      </x:c>
      <x:c r="G10" s="15" t="str">
        <x:v>Quantum Gases Group / LENS team</x:v>
      </x:c>
      <x:c r="H10" s="15" t="str">
        <x:v>LENS / University of Florence</x:v>
      </x:c>
      <x:c r="I10" s="15" t="str">
        <x:v>Florence</x:v>
      </x:c>
      <x:c r="J10" s="15" t="str">
        <x:v>Tuscany</x:v>
      </x:c>
      <x:c r="K10" s="15" t="str">
        <x:v>Italy</x:v>
      </x:c>
      <x:c r="L10" s="15" t="n">
        <x:v>43.7696</x:v>
      </x:c>
      <x:c r="M10" s="15" t="n">
        <x:v>11.2558</x:v>
      </x:c>
      <x:c r="N10" s="15" t="str">
        <x:v>Core A</x:v>
      </x:c>
      <x:c r="O10" s="15" t="str">
        <x:v>rydberg_array; optical_tweezers; quantum_simulation; neutral_atom_qc; alkaline_earth</x:v>
      </x:c>
      <x:c r="P10" s="15" t="str">
        <x:v>Sr</x:v>
      </x:c>
      <x:c r="Q10" s="15" t="str">
        <x:v>gates; analog_simulation; blockade</x:v>
      </x:c>
      <x:c r="R10" s="15" t="str">
        <x:v>experimental</x:v>
      </x:c>
      <x:c r="S10" s="15" t="str">
        <x:v>mixed</x:v>
      </x:c>
      <x:c r="T10" s="15" t="str">
        <x:v>https://quantumgases.lens.unifi.it/exp/sr-rydberg/174-sr-atoms</x:v>
      </x:c>
      <x:c r="U10" s="15" t="str">
        <x:v>https://quantumgases.lens.unifi.it/exp/sr-rydberg/174-sr-atoms</x:v>
      </x:c>
      <x:c r="V10" s="15" t="str">
        <x:v>Official page explicitly states Rydberg atoms in optical tweezers and programmable optically trapped neutral atoms.</x:v>
      </x:c>
    </x:row>
    <x:row r="11">
      <x:c r="A11" s="15" t="str">
        <x:v>E-010</x:v>
      </x:c>
      <x:c r="B11" s="15" t="str">
        <x:v>KAT-1 / Eindhoven Rydberg atom quantum computing and simulation</x:v>
      </x:c>
      <x:c r="C11" s="15" t="str">
        <x:v>academic</x:v>
      </x:c>
      <x:c r="D11" s="15" t="str">
        <x:v>A</x:v>
      </x:c>
      <x:c r="E11" s="15" t="str">
        <x:v>verified</x:v>
      </x:c>
      <x:c r="F11" s="15" t="n">
        <x:v>5</x:v>
      </x:c>
      <x:c r="G11" s="15" t="str">
        <x:v>S. J. J. M. F. Kokkelmans / Eindhoven team</x:v>
      </x:c>
      <x:c r="H11" s="15" t="str">
        <x:v>Eindhoven University of Technology</x:v>
      </x:c>
      <x:c r="I11" s="15" t="str">
        <x:v>Eindhoven</x:v>
      </x:c>
      <x:c r="J11" s="15" t="str">
        <x:v>North Brabant</x:v>
      </x:c>
      <x:c r="K11" s="15" t="str">
        <x:v>Netherlands</x:v>
      </x:c>
      <x:c r="L11" s="15" t="n">
        <x:v>51.4416</x:v>
      </x:c>
      <x:c r="M11" s="15" t="n">
        <x:v>5.4697</x:v>
      </x:c>
      <x:c r="N11" s="15" t="str">
        <x:v>Core A</x:v>
      </x:c>
      <x:c r="O11" s="15" t="str">
        <x:v>rydberg_array; optical_tweezers; neutral_atom_qc; quantum_simulation; alkaline_earth</x:v>
      </x:c>
      <x:c r="P11" s="15" t="str">
        <x:v>Sr</x:v>
      </x:c>
      <x:c r="Q11" s="15" t="str">
        <x:v>gates; analog_simulation; blockade; theory</x:v>
      </x:c>
      <x:c r="R11" s="15" t="str">
        <x:v>mixed</x:v>
      </x:c>
      <x:c r="S11" s="15" t="str">
        <x:v>mixed</x:v>
      </x:c>
      <x:c r="T11" s="15" t="str">
        <x:v>https://www.tue.nl/en/research/research-groups/center-for-quantum-materials-and-technology-eindhoven/projects/rydberg-atom-quantum-computing-and-simulation</x:v>
      </x:c>
      <x:c r="U11" s="15" t="str">
        <x:v>https://www.tue.nl/en/research/research-groups/center-for-quantum-materials-and-technology-eindhoven/projects/rydberg-atom-quantum-computing-and-simulation</x:v>
      </x:c>
      <x:c r="V11" s="15" t="str">
        <x:v>Strong A entry: official project states optical tweezers plus Rydberg interactions; includes theory on recapture/anti-trapping.</x:v>
      </x:c>
    </x:row>
    <x:row r="12">
      <x:c r="A12" s="15" t="str">
        <x:v>E-011</x:v>
      </x:c>
      <x:c r="B12" s="15" t="str">
        <x:v>QRydDemo / Rydberg quantum computer demonstrator</x:v>
      </x:c>
      <x:c r="C12" s="15" t="str">
        <x:v>mixed_team</x:v>
      </x:c>
      <x:c r="D12" s="15" t="str">
        <x:v>A</x:v>
      </x:c>
      <x:c r="E12" s="15" t="str">
        <x:v>verified</x:v>
      </x:c>
      <x:c r="F12" s="15" t="n">
        <x:v>5</x:v>
      </x:c>
      <x:c r="G12" s="15" t="str">
        <x:v>Tilman Pfau; Ferdinand Meinert; Hans Peter Büchler</x:v>
      </x:c>
      <x:c r="H12" s="15" t="str">
        <x:v>University of Stuttgart</x:v>
      </x:c>
      <x:c r="I12" s="15" t="str">
        <x:v>Stuttgart</x:v>
      </x:c>
      <x:c r="J12" s="15" t="str">
        <x:v>Baden-Württemberg</x:v>
      </x:c>
      <x:c r="K12" s="15" t="str">
        <x:v>Germany</x:v>
      </x:c>
      <x:c r="L12" s="15" t="n">
        <x:v>48.7758</x:v>
      </x:c>
      <x:c r="M12" s="15" t="n">
        <x:v>9.1829</x:v>
      </x:c>
      <x:c r="N12" s="15" t="str">
        <x:v>Core A</x:v>
      </x:c>
      <x:c r="O12" s="15" t="str">
        <x:v>rydberg_array; optical_tweezers; neutral_atom_qc; gates; theory; consortium</x:v>
      </x:c>
      <x:c r="P12" s="15" t="str">
        <x:v>Sr</x:v>
      </x:c>
      <x:c r="Q12" s="15" t="str">
        <x:v>gates; architecture; blockade; theory</x:v>
      </x:c>
      <x:c r="R12" s="15" t="str">
        <x:v>mixed</x:v>
      </x:c>
      <x:c r="S12" s="15" t="str">
        <x:v>mixed</x:v>
      </x:c>
      <x:c r="T12" s="15" t="str">
        <x:v>https://www.itp3.uni-stuttgart.de/buechler-group/research/quantum-computing-with-Rydberg-atoms/</x:v>
      </x:c>
      <x:c r="U12" s="15" t="str">
        <x:v>https://www.itp3.uni-stuttgart.de/buechler-group/research/quantum-computing-with-Rydberg-atoms/</x:v>
      </x:c>
      <x:c r="V12" s="15" t="str">
        <x:v>Important mixed experiment/theory node; not just a single PI lab but a demonstrator ecosystem.</x:v>
      </x:c>
    </x:row>
    <x:row r="13">
      <x:c r="A13" s="15" t="str">
        <x:v>E-012</x:v>
      </x:c>
      <x:c r="B13" s="15" t="str">
        <x:v>Circular Rydberg atoms group</x:v>
      </x:c>
      <x:c r="C13" s="15" t="str">
        <x:v>academic</x:v>
      </x:c>
      <x:c r="D13" s="15" t="str">
        <x:v>B</x:v>
      </x:c>
      <x:c r="E13" s="15" t="str">
        <x:v>verified</x:v>
      </x:c>
      <x:c r="F13" s="15" t="n">
        <x:v>4</x:v>
      </x:c>
      <x:c r="G13" s="15" t="str">
        <x:v>Jean-Michel Raimond; Michel Brune; Clément Sayrin / LKB team</x:v>
      </x:c>
      <x:c r="H13" s="15" t="str">
        <x:v>Laboratoire Kastler Brossel / ENS-PSL / Sorbonne / Collège de France</x:v>
      </x:c>
      <x:c r="I13" s="15" t="str">
        <x:v>Paris</x:v>
      </x:c>
      <x:c r="J13" s="15" t="str">
        <x:v>Île-de-France</x:v>
      </x:c>
      <x:c r="K13" s="15" t="str">
        <x:v>France</x:v>
      </x:c>
      <x:c r="L13" s="15" t="n">
        <x:v>48.841</x:v>
      </x:c>
      <x:c r="M13" s="15" t="n">
        <x:v>2.344</x:v>
      </x:c>
      <x:c r="N13" s="15" t="str">
        <x:v>Relevant B</x:v>
      </x:c>
      <x:c r="O13" s="15" t="str">
        <x:v>circular_rydberg; optical_tweezers; quantum_simulation; sensing; gates</x:v>
      </x:c>
      <x:c r="P13" s="15" t="str">
        <x:v>Rb</x:v>
      </x:c>
      <x:c r="Q13" s="15" t="str">
        <x:v>circular_rydberg; analog_simulation; sensing; blockade</x:v>
      </x:c>
      <x:c r="R13" s="15" t="str">
        <x:v>experimental</x:v>
      </x:c>
      <x:c r="S13" s="15" t="str">
        <x:v>mixed</x:v>
      </x:c>
      <x:c r="T13" s="15" t="str">
        <x:v>https://www.lkb.fr/rydbergatoms/</x:v>
      </x:c>
      <x:c r="U13" s="15" t="str">
        <x:v>https://www.lkb.fr/rydbergatoms/</x:v>
      </x:c>
      <x:c r="V13" s="15" t="str">
        <x:v>Highly relevant but somewhat adjacent to standard neutral-atom Rydberg blockade processors because it uses circular Rydberg atoms/bottle beams.</x:v>
      </x:c>
    </x:row>
    <x:row r="14">
      <x:c r="A14" s="15" t="str">
        <x:v>E-013</x:v>
      </x:c>
      <x:c r="B14" s="15" t="str">
        <x:v>Ohmori Group ultrafast Rydberg atom-array program</x:v>
      </x:c>
      <x:c r="C14" s="15" t="str">
        <x:v>academic</x:v>
      </x:c>
      <x:c r="D14" s="15" t="str">
        <x:v>B</x:v>
      </x:c>
      <x:c r="E14" s="15" t="str">
        <x:v>verified</x:v>
      </x:c>
      <x:c r="F14" s="15" t="n">
        <x:v>4</x:v>
      </x:c>
      <x:c r="G14" s="15" t="str">
        <x:v>Kenji Ohmori; Takafumi Tomita</x:v>
      </x:c>
      <x:c r="H14" s="15" t="str">
        <x:v>Institute for Molecular Science / SOKENDAI</x:v>
      </x:c>
      <x:c r="I14" s="15" t="str">
        <x:v>Okazaki</x:v>
      </x:c>
      <x:c r="J14" s="15" t="str">
        <x:v>Aichi</x:v>
      </x:c>
      <x:c r="K14" s="15" t="str">
        <x:v>Japan</x:v>
      </x:c>
      <x:c r="L14" s="15" t="n">
        <x:v>34.9546</x:v>
      </x:c>
      <x:c r="M14" s="15" t="n">
        <x:v>137.1743</x:v>
      </x:c>
      <x:c r="N14" s="15" t="str">
        <x:v>Relevant B</x:v>
      </x:c>
      <x:c r="O14" s="15" t="str">
        <x:v>rydberg_array; optical_tweezers; ultrafast; quantum_simulation</x:v>
      </x:c>
      <x:c r="P14" s="15" t="str">
        <x:v>Rb; unknown</x:v>
      </x:c>
      <x:c r="Q14" s="15" t="str">
        <x:v>analog_simulation; ultrafast_control; blockade</x:v>
      </x:c>
      <x:c r="R14" s="15" t="str">
        <x:v>experimental</x:v>
      </x:c>
      <x:c r="S14" s="15" t="str">
        <x:v>mixed</x:v>
      </x:c>
      <x:c r="T14" s="15" t="str">
        <x:v>https://ohmori.ims.ac.jp/en/publications/</x:v>
      </x:c>
      <x:c r="U14" s="15" t="str">
        <x:v>https://ohmori.ims.ac.jp/en/publications/</x:v>
      </x:c>
      <x:c r="V14" s="15" t="str">
        <x:v>Official publications/talks page repeatedly lists ultrafast Rydberg experiments with ultracold atoms in optical tweezers; still needs peer-reviewed extraction and species confirmation.</x:v>
      </x:c>
    </x:row>
    <x:row r="15">
      <x:c r="A15" s="15" t="str">
        <x:v>E-014</x:v>
      </x:c>
      <x:c r="B15" s="15" t="str">
        <x:v>Kaufman Group</x:v>
      </x:c>
      <x:c r="C15" s="15" t="str">
        <x:v>academic</x:v>
      </x:c>
      <x:c r="D15" s="15" t="str">
        <x:v>A</x:v>
      </x:c>
      <x:c r="E15" s="15" t="str">
        <x:v>verified</x:v>
      </x:c>
      <x:c r="F15" s="15" t="n">
        <x:v>5</x:v>
      </x:c>
      <x:c r="G15" s="15" t="str">
        <x:v>Adam M. Kaufman</x:v>
      </x:c>
      <x:c r="H15" s="15" t="str">
        <x:v>JILA / University of Colorado Boulder</x:v>
      </x:c>
      <x:c r="I15" s="15" t="str">
        <x:v>Boulder</x:v>
      </x:c>
      <x:c r="J15" s="15" t="str">
        <x:v>CO</x:v>
      </x:c>
      <x:c r="K15" s="15" t="str">
        <x:v>United States</x:v>
      </x:c>
      <x:c r="L15" s="15" t="n">
        <x:v>40.015</x:v>
      </x:c>
      <x:c r="M15" s="15" t="n">
        <x:v>-105.2705</x:v>
      </x:c>
      <x:c r="N15" s="15" t="str">
        <x:v>Core A</x:v>
      </x:c>
      <x:c r="O15" s="15" t="str">
        <x:v>optical_tweezers; rydberg_array; quantum_simulation; metrology; qec; gates</x:v>
      </x:c>
      <x:c r="P15" s="15" t="str">
        <x:v>Sr; Rb</x:v>
      </x:c>
      <x:c r="Q15" s="15" t="str">
        <x:v>gates; analog_simulation; blockade; metrology</x:v>
      </x:c>
      <x:c r="R15" s="15" t="str">
        <x:v>experimental</x:v>
      </x:c>
      <x:c r="S15" s="15" t="str">
        <x:v>mixed</x:v>
      </x:c>
      <x:c r="T15" s="15" t="str">
        <x:v>https://www.colorado.edu/jila/kaufman</x:v>
      </x:c>
      <x:c r="U15" s="15" t="str">
        <x:v>https://www.colorado.edu/jila/kaufman</x:v>
      </x:c>
      <x:c r="V15" s="15" t="str">
        <x:v>Core tweezer-array methods group with Rydberg activity; some work is not Rydberg-specific, so tag carefully.</x:v>
      </x:c>
    </x:row>
    <x:row r="16">
      <x:c r="A16" s="15" t="str">
        <x:v>E-015</x:v>
      </x:c>
      <x:c r="B16" s="15" t="str">
        <x:v>Pichler Quantum Science Theory group</x:v>
      </x:c>
      <x:c r="C16" s="15" t="str">
        <x:v>theory_group</x:v>
      </x:c>
      <x:c r="D16" s="15" t="str">
        <x:v>B</x:v>
      </x:c>
      <x:c r="E16" s="15" t="str">
        <x:v>verified</x:v>
      </x:c>
      <x:c r="F16" s="15" t="n">
        <x:v>4</x:v>
      </x:c>
      <x:c r="G16" s="15" t="str">
        <x:v>Hannes Pichler</x:v>
      </x:c>
      <x:c r="H16" s="15" t="str">
        <x:v>IQOQI Innsbruck / University of Innsbruck</x:v>
      </x:c>
      <x:c r="I16" s="15" t="str">
        <x:v>Innsbruck</x:v>
      </x:c>
      <x:c r="J16" s="15" t="str">
        <x:v>Tyrol</x:v>
      </x:c>
      <x:c r="K16" s="15" t="str">
        <x:v>Austria</x:v>
      </x:c>
      <x:c r="L16" s="15" t="n">
        <x:v>47.2692</x:v>
      </x:c>
      <x:c r="M16" s="15" t="n">
        <x:v>11.4041</x:v>
      </x:c>
      <x:c r="N16" s="15" t="str">
        <x:v>Relevant B</x:v>
      </x:c>
      <x:c r="O16" s="15" t="str">
        <x:v>rydberg_array; theory; algorithms; quantum_simulation; neutral_atom_qc</x:v>
      </x:c>
      <x:c r="P16" s="15" t="str">
        <x:v>not_applicable</x:v>
      </x:c>
      <x:c r="Q16" s="15" t="str">
        <x:v>theory; algorithms; analog_simulation; architecture; qec</x:v>
      </x:c>
      <x:c r="R16" s="15" t="str">
        <x:v>theory</x:v>
      </x:c>
      <x:c r="S16" s="15" t="str">
        <x:v>theory</x:v>
      </x:c>
      <x:c r="T16" s="15" t="str">
        <x:v>https://iqoqi.at/en/research/publications/ag-pichler</x:v>
      </x:c>
      <x:c r="U16" s="15" t="str">
        <x:v>https://iqoqi.at/en/research/publications/ag-pichler</x:v>
      </x:c>
      <x:c r="V16" s="15" t="str">
        <x:v>Theory node, not experimental; useful for citation-network discovery and algorithms/architecture bucket.</x:v>
      </x:c>
    </x:row>
    <x:row r="17">
      <x:c r="A17" s="15" t="str">
        <x:v>E-016</x:v>
      </x:c>
      <x:c r="B17" s="15" t="str">
        <x:v>Sachdev Rydberg-array theory collaborations</x:v>
      </x:c>
      <x:c r="C17" s="15" t="str">
        <x:v>theory_group</x:v>
      </x:c>
      <x:c r="D17" s="15" t="str">
        <x:v>B</x:v>
      </x:c>
      <x:c r="E17" s="15" t="str">
        <x:v>verified</x:v>
      </x:c>
      <x:c r="F17" s="15" t="n">
        <x:v>4</x:v>
      </x:c>
      <x:c r="G17" s="15" t="str">
        <x:v>Subir Sachdev; Rhine Samajdar / collaborators</x:v>
      </x:c>
      <x:c r="H17" s="15" t="str">
        <x:v>Harvard University</x:v>
      </x:c>
      <x:c r="I17" s="15" t="str">
        <x:v>Cambridge</x:v>
      </x:c>
      <x:c r="J17" s="15" t="str">
        <x:v>MA</x:v>
      </x:c>
      <x:c r="K17" s="15" t="str">
        <x:v>United States</x:v>
      </x:c>
      <x:c r="L17" s="15" t="n">
        <x:v>42.3736</x:v>
      </x:c>
      <x:c r="M17" s="15" t="n">
        <x:v>-71.1097</x:v>
      </x:c>
      <x:c r="N17" s="15" t="str">
        <x:v>Relevant B</x:v>
      </x:c>
      <x:c r="O17" s="15" t="str">
        <x:v>rydberg_array; theory; quantum_simulation; many_body</x:v>
      </x:c>
      <x:c r="P17" s="15" t="str">
        <x:v>not_applicable</x:v>
      </x:c>
      <x:c r="Q17" s="15" t="str">
        <x:v>theory; analog_simulation</x:v>
      </x:c>
      <x:c r="R17" s="15" t="str">
        <x:v>theory</x:v>
      </x:c>
      <x:c r="S17" s="15" t="str">
        <x:v>theory</x:v>
      </x:c>
      <x:c r="T17" s="15" t="str">
        <x:v>https://www.physics.harvard.edu/news/phases-two-dimensional-rydberg-atom-array</x:v>
      </x:c>
      <x:c r="U17" s="15" t="str">
        <x:v>https://www.physics.harvard.edu/news/phases-two-dimensional-rydberg-atom-array</x:v>
      </x:c>
      <x:c r="V17" s="15" t="str">
        <x:v>Theory-only but highly relevant to programmable Rydberg array quantum simulation.</x:v>
      </x:c>
    </x:row>
    <x:row r="18">
      <x:c r="A18" s="15" t="str">
        <x:v>E-017</x:v>
      </x:c>
      <x:c r="B18" s="15" t="str">
        <x:v>Lesanovsky theoretical atomic physics / synthetic quantum systems</x:v>
      </x:c>
      <x:c r="C18" s="15" t="str">
        <x:v>theory_group</x:v>
      </x:c>
      <x:c r="D18" s="15" t="str">
        <x:v>B</x:v>
      </x:c>
      <x:c r="E18" s="15" t="str">
        <x:v>verified</x:v>
      </x:c>
      <x:c r="F18" s="15" t="n">
        <x:v>3</x:v>
      </x:c>
      <x:c r="G18" s="15" t="str">
        <x:v>Igor Lesanovsky</x:v>
      </x:c>
      <x:c r="H18" s="15" t="str">
        <x:v>University of Tübingen</x:v>
      </x:c>
      <x:c r="I18" s="15" t="str">
        <x:v>Tübingen</x:v>
      </x:c>
      <x:c r="J18" s="15" t="str">
        <x:v>Baden-Württemberg</x:v>
      </x:c>
      <x:c r="K18" s="15" t="str">
        <x:v>Germany</x:v>
      </x:c>
      <x:c r="L18" s="15" t="n">
        <x:v>48.5216</x:v>
      </x:c>
      <x:c r="M18" s="15" t="n">
        <x:v>9.0576</x:v>
      </x:c>
      <x:c r="N18" s="15" t="str">
        <x:v>Relevant B</x:v>
      </x:c>
      <x:c r="O18" s="15" t="str">
        <x:v>rydberg_atoms; theory; quantum_simulation; open_quantum_systems</x:v>
      </x:c>
      <x:c r="P18" s="15" t="str">
        <x:v>not_applicable</x:v>
      </x:c>
      <x:c r="Q18" s="15" t="str">
        <x:v>theory; analog_simulation; dressing; open_systems</x:v>
      </x:c>
      <x:c r="R18" s="15" t="str">
        <x:v>theory</x:v>
      </x:c>
      <x:c r="S18" s="15" t="str">
        <x:v>theory</x:v>
      </x:c>
      <x:c r="T18" s="15" t="str">
        <x:v>https://uni-tuebingen.de/en/fakultaeten/mathematisch-naturwissenschaftliche-fakultaet/fachbereiche/physik/institute/institut-fuer-theoretische-physik/arbeitsgruppen/ag-lesanovsky/research-topics/</x:v>
      </x:c>
      <x:c r="U18" s="15" t="str">
        <x:v>https://arxiv.org/abs/2506.09865</x:v>
      </x:c>
      <x:c r="V18" s="15" t="str">
        <x:v>Updated in v0.9: current Rydberg-tweezer-array molecular-dynamics theory paper added; affiliation normalized to Tübingen pending official page check.</x:v>
      </x:c>
    </x:row>
    <x:row r="19">
      <x:c r="A19" s="15" t="str">
        <x:v>E-018</x:v>
      </x:c>
      <x:c r="B19" s="15" t="str">
        <x:v>PASQAL</x:v>
      </x:c>
      <x:c r="C19" s="15" t="str">
        <x:v>company</x:v>
      </x:c>
      <x:c r="D19" s="15" t="str">
        <x:v>A</x:v>
      </x:c>
      <x:c r="E19" s="15" t="str">
        <x:v>verified</x:v>
      </x:c>
      <x:c r="F19" s="15" t="n">
        <x:v>5</x:v>
      </x:c>
      <x:c r="G19" s="15" t="str">
        <x:v>Company leadership / PASQAL technical teams</x:v>
      </x:c>
      <x:c r="H19" s="15" t="str">
        <x:v>PASQAL</x:v>
      </x:c>
      <x:c r="I19" s="15" t="str">
        <x:v>Massy / Palaiseau</x:v>
      </x:c>
      <x:c r="J19" s="15" t="str">
        <x:v>Île-de-France</x:v>
      </x:c>
      <x:c r="K19" s="15" t="str">
        <x:v>France</x:v>
      </x:c>
      <x:c r="L19" s="15" t="n">
        <x:v>48.73</x:v>
      </x:c>
      <x:c r="M19" s="15" t="n">
        <x:v>2.27</x:v>
      </x:c>
      <x:c r="N19" s="15" t="str">
        <x:v>Core A</x:v>
      </x:c>
      <x:c r="O19" s="15" t="str">
        <x:v>rydberg_array; optical_tweezers; neutral_atom_qc; quantum_simulation; software; algorithms; gates</x:v>
      </x:c>
      <x:c r="P19" s="15" t="str">
        <x:v>Rb</x:v>
      </x:c>
      <x:c r="Q19" s="15" t="str">
        <x:v>analog_simulation; digital_simulation; gates; blockade</x:v>
      </x:c>
      <x:c r="R19" s="15" t="str">
        <x:v>company</x:v>
      </x:c>
      <x:c r="S19" s="15" t="str">
        <x:v>mixed</x:v>
      </x:c>
      <x:c r="T19" s="15" t="str">
        <x:v>https://www.pasqal.com/</x:v>
      </x:c>
      <x:c r="U19" s="15" t="str">
        <x:v>https://www.pasqal.com/blog/pasqals-neutral-atoms-platform-toward-fully-programmable-quantum-simulators/</x:v>
      </x:c>
      <x:c r="V19" s="15" t="str">
        <x:v>Company is core target; sources explicitly state Rydberg atoms held in arrays of optical tweezers and registers built with optical tweezers.</x:v>
      </x:c>
    </x:row>
    <x:row r="20">
      <x:c r="A20" s="15" t="str">
        <x:v>E-019</x:v>
      </x:c>
      <x:c r="B20" s="15" t="str">
        <x:v>QuEra Computing</x:v>
      </x:c>
      <x:c r="C20" s="15" t="str">
        <x:v>company</x:v>
      </x:c>
      <x:c r="D20" s="15" t="str">
        <x:v>A</x:v>
      </x:c>
      <x:c r="E20" s="15" t="str">
        <x:v>verified</x:v>
      </x:c>
      <x:c r="F20" s="15" t="n">
        <x:v>5</x:v>
      </x:c>
      <x:c r="G20" s="15" t="str">
        <x:v>Company leadership / QuEra technical teams</x:v>
      </x:c>
      <x:c r="H20" s="15" t="str">
        <x:v>QuEra Computing</x:v>
      </x:c>
      <x:c r="I20" s="15" t="str">
        <x:v>Boston</x:v>
      </x:c>
      <x:c r="J20" s="15" t="str">
        <x:v>MA</x:v>
      </x:c>
      <x:c r="K20" s="15" t="str">
        <x:v>United States</x:v>
      </x:c>
      <x:c r="L20" s="15" t="n">
        <x:v>42.3601</x:v>
      </x:c>
      <x:c r="M20" s="15" t="n">
        <x:v>-71.0589</x:v>
      </x:c>
      <x:c r="N20" s="15" t="str">
        <x:v>Core A</x:v>
      </x:c>
      <x:c r="O20" s="15" t="str">
        <x:v>rydberg_array; optical_tweezers; neutral_atom_qc; analog_simulation; qec; software</x:v>
      </x:c>
      <x:c r="P20" s="15" t="str">
        <x:v>Rb; unknown</x:v>
      </x:c>
      <x:c r="Q20" s="15" t="str">
        <x:v>analog_simulation; gates; qec; blockade</x:v>
      </x:c>
      <x:c r="R20" s="15" t="str">
        <x:v>company</x:v>
      </x:c>
      <x:c r="S20" s="15" t="str">
        <x:v>mixed</x:v>
      </x:c>
      <x:c r="T20" s="15" t="str">
        <x:v>https://www.quera.com/neutral-atom-platform</x:v>
      </x:c>
      <x:c r="U20" s="15" t="str">
        <x:v>https://www.quera.com/neutral-atom-platform</x:v>
      </x:c>
      <x:c r="V20" s="15" t="str">
        <x:v>Company is core target; official platform page says lasers act as optical tweezers; Bloqade docs state Rydberg blockade mechanism.</x:v>
      </x:c>
    </x:row>
    <x:row r="21">
      <x:c r="A21" s="15" t="str">
        <x:v>E-020</x:v>
      </x:c>
      <x:c r="B21" s="15" t="str">
        <x:v>Atom Computing</x:v>
      </x:c>
      <x:c r="C21" s="15" t="str">
        <x:v>company</x:v>
      </x:c>
      <x:c r="D21" s="15" t="str">
        <x:v>B</x:v>
      </x:c>
      <x:c r="E21" s="15" t="str">
        <x:v>needs_review</x:v>
      </x:c>
      <x:c r="F21" s="15" t="n">
        <x:v>4</x:v>
      </x:c>
      <x:c r="G21" s="15" t="str">
        <x:v>Company leadership / Atom Computing technical teams</x:v>
      </x:c>
      <x:c r="H21" s="15" t="str">
        <x:v>Atom Computing</x:v>
      </x:c>
      <x:c r="I21" s="15" t="str">
        <x:v>Berkeley</x:v>
      </x:c>
      <x:c r="J21" s="15" t="str">
        <x:v>CA</x:v>
      </x:c>
      <x:c r="K21" s="15" t="str">
        <x:v>United States</x:v>
      </x:c>
      <x:c r="L21" s="15" t="n">
        <x:v>37.8715</x:v>
      </x:c>
      <x:c r="M21" s="15" t="n">
        <x:v>-122.273</x:v>
      </x:c>
      <x:c r="N21" s="15" t="str">
        <x:v>Relevant B</x:v>
      </x:c>
      <x:c r="O21" s="15" t="str">
        <x:v>neutral_atom_qc; optical_tweezers; qec; alkaline_earth; gates</x:v>
      </x:c>
      <x:c r="P21" s="15" t="str">
        <x:v>Sr; alkaline_earth</x:v>
      </x:c>
      <x:c r="Q21" s="15" t="str">
        <x:v>gates; qec; architecture</x:v>
      </x:c>
      <x:c r="R21" s="15" t="str">
        <x:v>company</x:v>
      </x:c>
      <x:c r="S21" s="15" t="str">
        <x:v>mixed</x:v>
      </x:c>
      <x:c r="T21" s="15" t="str">
        <x:v>https://atom-computing.com/</x:v>
      </x:c>
      <x:c r="U21" s="15" t="str">
        <x:v>https://atom-computing.com/wp-content/uploads/2025/01/Atom-Computing-Whitepaper-2025.pdf</x:v>
      </x:c>
      <x:c r="V21" s="15" t="str">
        <x:v>Included as B: clearly neutral-atom/tweezer-confined and QEC-relevant; public source needs more explicit Rydberg-gate confirmation in this pass.</x:v>
      </x:c>
    </x:row>
    <x:row r="22">
      <x:c r="A22" s="15" t="str">
        <x:v>E-021</x:v>
      </x:c>
      <x:c r="B22" s="15" t="str">
        <x:v>Infleqtion neutral-atom QC program</x:v>
      </x:c>
      <x:c r="C22" s="15" t="str">
        <x:v>company</x:v>
      </x:c>
      <x:c r="D22" s="15" t="str">
        <x:v>B</x:v>
      </x:c>
      <x:c r="E22" s="15" t="str">
        <x:v>needs_review</x:v>
      </x:c>
      <x:c r="F22" s="15" t="n">
        <x:v>4</x:v>
      </x:c>
      <x:c r="G22" s="15" t="str">
        <x:v>Company leadership / Infleqtion technical teams</x:v>
      </x:c>
      <x:c r="H22" s="15" t="str">
        <x:v>Infleqtion</x:v>
      </x:c>
      <x:c r="I22" s="15" t="str">
        <x:v>Boulder</x:v>
      </x:c>
      <x:c r="J22" s="15" t="str">
        <x:v>CO</x:v>
      </x:c>
      <x:c r="K22" s="15" t="str">
        <x:v>United States</x:v>
      </x:c>
      <x:c r="L22" s="15" t="n">
        <x:v>40.015</x:v>
      </x:c>
      <x:c r="M22" s="15" t="n">
        <x:v>-105.2705</x:v>
      </x:c>
      <x:c r="N22" s="15" t="str">
        <x:v>Relevant B</x:v>
      </x:c>
      <x:c r="O22" s="15" t="str">
        <x:v>neutral_atom_qc; optical_tweezers; gates; qec; sensing</x:v>
      </x:c>
      <x:c r="P22" s="15" t="str">
        <x:v>Cs</x:v>
      </x:c>
      <x:c r="Q22" s="15" t="str">
        <x:v>gates; qec; blockade</x:v>
      </x:c>
      <x:c r="R22" s="15" t="str">
        <x:v>company</x:v>
      </x:c>
      <x:c r="S22" s="15" t="str">
        <x:v>mixed</x:v>
      </x:c>
      <x:c r="T22" s="15" t="str">
        <x:v>https://infleqtion.com/neutral-atom-technology/</x:v>
      </x:c>
      <x:c r="U22" s="15" t="str">
        <x:v>https://infleqtion.com/neutral-atom-technology/</x:v>
      </x:c>
      <x:c r="V22" s="15" t="str">
        <x:v>Included as B: official page gives optical tweezers; arXiv paper gives Cs tweezer array; confirm exact Rydberg gate mechanism and current product architecture.</x:v>
      </x:c>
    </x:row>
    <x:row r="23">
      <x:c r="A23" s="15" t="str">
        <x:v>E-022</x:v>
      </x:c>
      <x:c r="B23" s="15" t="str">
        <x:v>QPerfect</x:v>
      </x:c>
      <x:c r="C23" s="15" t="str">
        <x:v>company</x:v>
      </x:c>
      <x:c r="D23" s="15" t="str">
        <x:v>B</x:v>
      </x:c>
      <x:c r="E23" s="15" t="str">
        <x:v>verified</x:v>
      </x:c>
      <x:c r="F23" s="15" t="n">
        <x:v>4</x:v>
      </x:c>
      <x:c r="G23" s="15" t="str">
        <x:v>QPerfect team</x:v>
      </x:c>
      <x:c r="H23" s="15" t="str">
        <x:v>QPerfect</x:v>
      </x:c>
      <x:c r="I23" s="15" t="str">
        <x:v>Strasbourg</x:v>
      </x:c>
      <x:c r="J23" s="15" t="str">
        <x:v>Grand Est</x:v>
      </x:c>
      <x:c r="K23" s="15" t="str">
        <x:v>France</x:v>
      </x:c>
      <x:c r="L23" s="15" t="n">
        <x:v>48.5734</x:v>
      </x:c>
      <x:c r="M23" s="15" t="n">
        <x:v>7.7521</x:v>
      </x:c>
      <x:c r="N23" s="15" t="str">
        <x:v>Relevant B</x:v>
      </x:c>
      <x:c r="O23" s="15" t="str">
        <x:v>software; algorithms; qec; neutral_atom_qc; theory</x:v>
      </x:c>
      <x:c r="P23" s="15" t="str">
        <x:v>not_applicable</x:v>
      </x:c>
      <x:c r="Q23" s="15" t="str">
        <x:v>algorithms; qec; emulation; theory</x:v>
      </x:c>
      <x:c r="R23" s="15" t="str">
        <x:v>software</x:v>
      </x:c>
      <x:c r="S23" s="15" t="str">
        <x:v>theory</x:v>
      </x:c>
      <x:c r="T23" s="15" t="str">
        <x:v>https://www.qperfect.io/</x:v>
      </x:c>
      <x:c r="U23" s="15" t="str">
        <x:v>https://www.qperfect.io/</x:v>
      </x:c>
      <x:c r="V23" s="15" t="str">
        <x:v>Not a hardware lab, but useful for theory/software/company ecosystem mapping around neutral-atom Rydberg processors.</x:v>
      </x:c>
    </x:row>
    <x:row r="24">
      <x:c r="A24" s="15" t="str">
        <x:v>E-023</x:v>
      </x:c>
      <x:c r="B24" s="15" t="str">
        <x:v>planqc</x:v>
      </x:c>
      <x:c r="C24" s="15" t="str">
        <x:v>company</x:v>
      </x:c>
      <x:c r="D24" s="15" t="str">
        <x:v>C</x:v>
      </x:c>
      <x:c r="E24" s="15" t="str">
        <x:v>candidate</x:v>
      </x:c>
      <x:c r="F24" s="15" t="n">
        <x:v>2</x:v>
      </x:c>
      <x:c r="G24" s="15" t="str">
        <x:v>planqc team / MPQ spinout</x:v>
      </x:c>
      <x:c r="H24" s="15" t="str">
        <x:v>planqc</x:v>
      </x:c>
      <x:c r="I24" s="15" t="str">
        <x:v>Garching / Munich</x:v>
      </x:c>
      <x:c r="J24" s="15" t="str">
        <x:v>Bavaria</x:v>
      </x:c>
      <x:c r="K24" s="15" t="str">
        <x:v>Germany</x:v>
      </x:c>
      <x:c r="L24" s="15" t="n">
        <x:v>48.2489</x:v>
      </x:c>
      <x:c r="M24" s="15" t="n">
        <x:v>11.6532</x:v>
      </x:c>
      <x:c r="N24" s="15" t="str">
        <x:v>Adjacent C</x:v>
      </x:c>
      <x:c r="O24" s="15" t="str">
        <x:v>neutral_atom_qc; optical_lattice; qec; gates</x:v>
      </x:c>
      <x:c r="P24" s="15" t="str">
        <x:v>Sr; Li; unknown</x:v>
      </x:c>
      <x:c r="Q24" s="15" t="str">
        <x:v>gates; architecture</x:v>
      </x:c>
      <x:c r="R24" s="15" t="str">
        <x:v>company</x:v>
      </x:c>
      <x:c r="S24" s="15" t="str">
        <x:v>mixed</x:v>
      </x:c>
      <x:c r="T24" s="15" t="str">
        <x:v>https://www.planqc.eu/</x:v>
      </x:c>
      <x:c r="U24" s="15" t="str">
        <x:v>https://www.mpq.mpg.de/quantum-register-reaches-1200-neutral-atoms-in-continuous-operation</x:v>
      </x:c>
      <x:c r="V24" s="15" t="str">
        <x:v>Kept as C because approach appears optical-lattice-centered rather than optical-tweezer-centered, but strategically adjacent.</x:v>
      </x:c>
    </x:row>
    <x:row r="25">
      <x:c r="A25" s="15" t="str">
        <x:v>E-024</x:v>
      </x:c>
      <x:c r="B25" s="15" t="str">
        <x:v>CAS Cold Atom Technology / Hanyuan neutral-atom systems</x:v>
      </x:c>
      <x:c r="C25" s="15" t="str">
        <x:v>company</x:v>
      </x:c>
      <x:c r="D25" s="15" t="str">
        <x:v>C</x:v>
      </x:c>
      <x:c r="E25" s="15" t="str">
        <x:v>candidate</x:v>
      </x:c>
      <x:c r="F25" s="15" t="n">
        <x:v>2</x:v>
      </x:c>
      <x:c r="G25" s="15" t="str">
        <x:v>CAS Cold Atom Technology team</x:v>
      </x:c>
      <x:c r="H25" s="15" t="str">
        <x:v>CAS Cold Atom Technology</x:v>
      </x:c>
      <x:c r="I25" s="15" t="str">
        <x:v>Wuhan</x:v>
      </x:c>
      <x:c r="J25" s="15" t="str">
        <x:v>Hubei</x:v>
      </x:c>
      <x:c r="K25" s="15" t="str">
        <x:v>China</x:v>
      </x:c>
      <x:c r="L25" s="15" t="n">
        <x:v>30.5928</x:v>
      </x:c>
      <x:c r="M25" s="15" t="n">
        <x:v>114.3055</x:v>
      </x:c>
      <x:c r="N25" s="15" t="str">
        <x:v>Adjacent C</x:v>
      </x:c>
      <x:c r="O25" s="15" t="str">
        <x:v>neutral_atom_qc; optical_tweezers; company; qec</x:v>
      </x:c>
      <x:c r="P25" s="15" t="str">
        <x:v>Rb</x:v>
      </x:c>
      <x:c r="Q25" s="15" t="str">
        <x:v>architecture; qec</x:v>
      </x:c>
      <x:c r="R25" s="15" t="str">
        <x:v>company</x:v>
      </x:c>
      <x:c r="S25" s="15" t="str">
        <x:v>unknown</x:v>
      </x:c>
      <x:c r="T25" s="15" t="str">
        <x:v>https://www.cas.cn/</x:v>
      </x:c>
      <x:c r="U25" s="15" t="str">
        <x:v>https://www.tomshardware.com/tech-industry/quantum-computing/china-claims-worlds-first-dual-core-quantum-computer</x:v>
      </x:c>
      <x:c r="V25" s="15" t="str">
        <x:v>Kept as C/candidate because information is mostly press/news and lacks detailed public benchmarks in this pass.</x:v>
      </x:c>
    </x:row>
    <x:row r="26">
      <x:c r="A26" s="15" t="str">
        <x:v>E-025</x:v>
      </x:c>
      <x:c r="B26" s="15" t="str">
        <x:v>DLR QCI DiNAQC / neutral atoms program</x:v>
      </x:c>
      <x:c r="C26" s="15" t="str">
        <x:v>national_lab</x:v>
      </x:c>
      <x:c r="D26" s="15" t="str">
        <x:v>C</x:v>
      </x:c>
      <x:c r="E26" s="15" t="str">
        <x:v>candidate</x:v>
      </x:c>
      <x:c r="F26" s="15" t="n">
        <x:v>2</x:v>
      </x:c>
      <x:c r="G26" s="15" t="str">
        <x:v>DLR QCI / project partners</x:v>
      </x:c>
      <x:c r="H26" s="15" t="str">
        <x:v>DLR Quantum Computing Initiative</x:v>
      </x:c>
      <x:c r="I26" s="15" t="str">
        <x:v>Germany</x:v>
      </x:c>
      <x:c r="J26" s="15" t="str">
        <x:v>Germany</x:v>
      </x:c>
      <x:c r="K26" s="15" t="str">
        <x:v>Germany</x:v>
      </x:c>
      <x:c r="L26" s="15" t="n">
        <x:v>51.1657</x:v>
      </x:c>
      <x:c r="M26" s="15" t="n">
        <x:v>10.4515</x:v>
      </x:c>
      <x:c r="N26" s="15" t="str">
        <x:v>Adjacent C</x:v>
      </x:c>
      <x:c r="O26" s="15" t="str">
        <x:v>neutral_atom_qc; rydberg_array; gates; consortium</x:v>
      </x:c>
      <x:c r="P26" s="15" t="str">
        <x:v>unknown</x:v>
      </x:c>
      <x:c r="Q26" s="15" t="str">
        <x:v>gates; blockade; architecture</x:v>
      </x:c>
      <x:c r="R26" s="15" t="str">
        <x:v>mixed</x:v>
      </x:c>
      <x:c r="S26" s="15" t="str">
        <x:v>mixed</x:v>
      </x:c>
      <x:c r="T26" s="15" t="str">
        <x:v>https://qci.dlr.de/en/neutral-atoms/</x:v>
      </x:c>
      <x:c r="U26" s="15" t="str">
        <x:v>https://qci.dlr.de/en/neutral-atoms/</x:v>
      </x:c>
      <x:c r="V26" s="15" t="str">
        <x:v>Useful consortium/project row, but optical tweezers not confirmed from the DLR page snippet.</x:v>
      </x:c>
    </x:row>
    <x:row r="27">
      <x:c r="A27" s="15" t="str">
        <x:v>E-026</x:v>
      </x:c>
      <x:c r="B27" s="15" t="str">
        <x:v>CQT atom-array program</x:v>
      </x:c>
      <x:c r="C27" s="15" t="str">
        <x:v>academic</x:v>
      </x:c>
      <x:c r="D27" s="15" t="str">
        <x:v>C</x:v>
      </x:c>
      <x:c r="E27" s="15" t="str">
        <x:v>candidate</x:v>
      </x:c>
      <x:c r="F27" s="15" t="n">
        <x:v>2</x:v>
      </x:c>
      <x:c r="G27" s="15" t="str">
        <x:v>Huanqian Loh / CQT team</x:v>
      </x:c>
      <x:c r="H27" s="15" t="str">
        <x:v>Centre for Quantum Technologies, National University of Singapore</x:v>
      </x:c>
      <x:c r="I27" s="15" t="str">
        <x:v>Singapore</x:v>
      </x:c>
      <x:c r="J27" s="15"/>
      <x:c r="K27" s="15" t="str">
        <x:v>Singapore</x:v>
      </x:c>
      <x:c r="L27" s="15" t="n">
        <x:v>1.3521</x:v>
      </x:c>
      <x:c r="M27" s="15" t="n">
        <x:v>103.8198</x:v>
      </x:c>
      <x:c r="N27" s="15" t="str">
        <x:v>Adjacent C</x:v>
      </x:c>
      <x:c r="O27" s="15" t="str">
        <x:v>optical_tweezers; atom_arrays; quantum_simulation</x:v>
      </x:c>
      <x:c r="P27" s="15" t="str">
        <x:v>unknown</x:v>
      </x:c>
      <x:c r="Q27" s="15" t="str">
        <x:v>other</x:v>
      </x:c>
      <x:c r="R27" s="15" t="str">
        <x:v>experimental</x:v>
      </x:c>
      <x:c r="S27" s="15" t="str">
        <x:v>mixed</x:v>
      </x:c>
      <x:c r="T27" s="15" t="str">
        <x:v>https://www.cqt.sg/highlight/2023-03-tweezers-atom-array/</x:v>
      </x:c>
      <x:c r="U27" s="15" t="str">
        <x:v>https://www.cqt.sg/highlight/2023-03-tweezers-atom-array/</x:v>
      </x:c>
      <x:c r="V27" s="15" t="str">
        <x:v>Kept as adjacent/candidate because optical tweezer arrays are confirmed, but Rydberg target relevance is not yet confirmed.</x:v>
      </x:c>
    </x:row>
    <x:row r="28">
      <x:c r="A28" s="15" t="str">
        <x:v>E-027</x:v>
      </x:c>
      <x:c r="B28" s="15" t="str">
        <x:v>Wenchao Xu Rydberg atom-array program</x:v>
      </x:c>
      <x:c r="C28" s="15" t="str">
        <x:v>academic</x:v>
      </x:c>
      <x:c r="D28" s="15" t="str">
        <x:v>B</x:v>
      </x:c>
      <x:c r="E28" s="15" t="str">
        <x:v>verified</x:v>
      </x:c>
      <x:c r="F28" s="15" t="n">
        <x:v>4</x:v>
      </x:c>
      <x:c r="G28" s="15" t="str">
        <x:v>Wenchao Xu</x:v>
      </x:c>
      <x:c r="H28" s="15" t="str">
        <x:v>ETH Zurich</x:v>
      </x:c>
      <x:c r="I28" s="15" t="str">
        <x:v>Zurich</x:v>
      </x:c>
      <x:c r="J28" s="15" t="str">
        <x:v>Zurich</x:v>
      </x:c>
      <x:c r="K28" s="15" t="str">
        <x:v>Switzerland</x:v>
      </x:c>
      <x:c r="L28" s="15" t="n">
        <x:v>47.3769</x:v>
      </x:c>
      <x:c r="M28" s="15" t="n">
        <x:v>8.5417</x:v>
      </x:c>
      <x:c r="N28" s="15" t="str">
        <x:v>Relevant B</x:v>
      </x:c>
      <x:c r="O28" s="15" t="str">
        <x:v>rydberg_array; optical_tweezers; quantum_simulation; neutral_atom_qc</x:v>
      </x:c>
      <x:c r="P28" s="15" t="str">
        <x:v>unknown</x:v>
      </x:c>
      <x:c r="Q28" s="15" t="str">
        <x:v>gates; analog_simulation; blockade</x:v>
      </x:c>
      <x:c r="R28" s="15" t="str">
        <x:v>experimental</x:v>
      </x:c>
      <x:c r="S28" s="15" t="str">
        <x:v>mixed</x:v>
      </x:c>
      <x:c r="T28" s="15" t="str">
        <x:v>https://www.psi.ch/en/news/science-features/correcting-quantum-errors-with-neutral-atom-architectures</x:v>
      </x:c>
      <x:c r="U28" s="15" t="str">
        <x:v>https://memento.epfl.ch/event/qse-quantum-seminar-quantum-science-with-rydberg-a/</x:v>
      </x:c>
      <x:c r="V28" s="15" t="str">
        <x:v>ETH/PSI sources confirm Wenchao Xu leads Quantum Engineering and works on optically trapped neutral-atom arrays; seminar abstracts explicitly mention controllable Rydberg interactions.</x:v>
      </x:c>
    </x:row>
    <x:row r="29">
      <x:c r="A29" s="15" t="str">
        <x:v>E-028</x:v>
      </x:c>
      <x:c r="B29" s="15" t="str">
        <x:v>Bernien Lab dual-species Rydberg arrays</x:v>
      </x:c>
      <x:c r="C29" s="15" t="str">
        <x:v>academic</x:v>
      </x:c>
      <x:c r="D29" s="15" t="str">
        <x:v>A</x:v>
      </x:c>
      <x:c r="E29" s="15" t="str">
        <x:v>verified</x:v>
      </x:c>
      <x:c r="F29" s="15" t="n">
        <x:v>5</x:v>
      </x:c>
      <x:c r="G29" s="15" t="str">
        <x:v>Hannes Bernien</x:v>
      </x:c>
      <x:c r="H29" s="15" t="str">
        <x:v>University of Chicago</x:v>
      </x:c>
      <x:c r="I29" s="15" t="str">
        <x:v>Chicago</x:v>
      </x:c>
      <x:c r="J29" s="15" t="str">
        <x:v>IL</x:v>
      </x:c>
      <x:c r="K29" s="15" t="str">
        <x:v>United States</x:v>
      </x:c>
      <x:c r="L29" s="15" t="n">
        <x:v>41.7897</x:v>
      </x:c>
      <x:c r="M29" s="15" t="n">
        <x:v>-87.5997</x:v>
      </x:c>
      <x:c r="N29" s="15" t="str">
        <x:v>Core A</x:v>
      </x:c>
      <x:c r="O29" s="15" t="str">
        <x:v>rydberg_array; optical_tweezers; dual_species; neutral_atom_qc; quantum_simulation; qnd; gates</x:v>
      </x:c>
      <x:c r="P29" s="15" t="str">
        <x:v>Rb; Cs</x:v>
      </x:c>
      <x:c r="Q29" s="15" t="str">
        <x:v>gates; quantum_simulation; qnd_measurement; dual_species_rydberg</x:v>
      </x:c>
      <x:c r="R29" s="15" t="str">
        <x:v>experimental</x:v>
      </x:c>
      <x:c r="S29" s="15" t="str">
        <x:v>mixed</x:v>
      </x:c>
      <x:c r="T29" s="15" t="str">
        <x:v>https://bernienlab.com/</x:v>
      </x:c>
      <x:c r="U29" s="15" t="str">
        <x:v>https://bernienlab.com/</x:v>
      </x:c>
      <x:c r="V29" s="15" t="str">
        <x:v>Core dual-species Rydberg tweezer group. Official lab page shows Rb/Cs atoms in arbitrary geometries using optical tweezers; UChicago page confirms Rydberg entanglement/QND direction.</x:v>
      </x:c>
    </x:row>
    <x:row r="30">
      <x:c r="A30" s="15" t="str">
        <x:v>E-029</x:v>
      </x:c>
      <x:c r="B30" s="15" t="str">
        <x:v>Vuletic neutral-atom/Rydberg collaborations</x:v>
      </x:c>
      <x:c r="C30" s="15" t="str">
        <x:v>academic</x:v>
      </x:c>
      <x:c r="D30" s="15" t="str">
        <x:v>B</x:v>
      </x:c>
      <x:c r="E30" s="15" t="str">
        <x:v>verified</x:v>
      </x:c>
      <x:c r="F30" s="15" t="n">
        <x:v>4</x:v>
      </x:c>
      <x:c r="G30" s="15" t="str">
        <x:v>Vladan Vuletic</x:v>
      </x:c>
      <x:c r="H30" s="15" t="str">
        <x:v>Massachusetts Institute of Technology</x:v>
      </x:c>
      <x:c r="I30" s="15" t="str">
        <x:v>Cambridge</x:v>
      </x:c>
      <x:c r="J30" s="15" t="str">
        <x:v>MA</x:v>
      </x:c>
      <x:c r="K30" s="15" t="str">
        <x:v>United States</x:v>
      </x:c>
      <x:c r="L30" s="15" t="n">
        <x:v>42.3601</x:v>
      </x:c>
      <x:c r="M30" s="15" t="n">
        <x:v>-71.0942</x:v>
      </x:c>
      <x:c r="N30" s="15" t="str">
        <x:v>Relevant B</x:v>
      </x:c>
      <x:c r="O30" s="15" t="str">
        <x:v>rydberg_array; optical_tweezers; neutral_atom_qc; gates; nanophotonics; cavity_qed</x:v>
      </x:c>
      <x:c r="P30" s="15" t="str">
        <x:v>Rb</x:v>
      </x:c>
      <x:c r="Q30" s="15" t="str">
        <x:v>gates; cavity_interfaces; qec; blockade</x:v>
      </x:c>
      <x:c r="R30" s="15" t="str">
        <x:v>mixed</x:v>
      </x:c>
      <x:c r="S30" s="15" t="str">
        <x:v>mixed</x:v>
      </x:c>
      <x:c r="T30" s="15" t="str">
        <x:v>https://eapg.mit.edu/publications-by-subject/cavity-qed-with-atomic-ensembles-quantum-information-science/</x:v>
      </x:c>
      <x:c r="U30" s="15" t="str">
        <x:v>https://eapg.mit.edu/publications-by-subject/cavity-qed-with-atomic-ensembles-quantum-information-science/</x:v>
      </x:c>
      <x:c r="V30" s="15" t="str">
        <x:v>Relevant mixed collaboration node rather than a clean standalone Rydberg-array lab row; important for Cambridge ecosystem and cavity/interface directions.</x:v>
      </x:c>
    </x:row>
    <x:row r="31">
      <x:c r="A31" s="15" t="str">
        <x:v>E-030</x:v>
      </x:c>
      <x:c r="B31" s="15" t="str">
        <x:v>Google Quantum AI neutral-atom hardware team</x:v>
      </x:c>
      <x:c r="C31" s="15" t="str">
        <x:v>company</x:v>
      </x:c>
      <x:c r="D31" s="15" t="str">
        <x:v>B</x:v>
      </x:c>
      <x:c r="E31" s="15" t="str">
        <x:v>candidate</x:v>
      </x:c>
      <x:c r="F31" s="15" t="n">
        <x:v>4</x:v>
      </x:c>
      <x:c r="G31" s="15" t="str">
        <x:v>Adam M. Kaufman / Google Quantum AI team</x:v>
      </x:c>
      <x:c r="H31" s="15" t="str">
        <x:v>Google Quantum AI / JILA collaboration</x:v>
      </x:c>
      <x:c r="I31" s="15" t="str">
        <x:v>Boulder</x:v>
      </x:c>
      <x:c r="J31" s="15" t="str">
        <x:v>CO</x:v>
      </x:c>
      <x:c r="K31" s="15" t="str">
        <x:v>United States</x:v>
      </x:c>
      <x:c r="L31" s="15" t="n">
        <x:v>40.015</x:v>
      </x:c>
      <x:c r="M31" s="15" t="n">
        <x:v>-105.2705</x:v>
      </x:c>
      <x:c r="N31" s="15" t="str">
        <x:v>Relevant B</x:v>
      </x:c>
      <x:c r="O31" s="15" t="str">
        <x:v>neutral_atom_qc; optical_tweezers; qec; company; emerging_program</x:v>
      </x:c>
      <x:c r="P31" s="15" t="str">
        <x:v>Yb; unknown</x:v>
      </x:c>
      <x:c r="Q31" s="15" t="str">
        <x:v>qec; gates; architecture; neutral_atom_hardware</x:v>
      </x:c>
      <x:c r="R31" s="15" t="str">
        <x:v>mixed</x:v>
      </x:c>
      <x:c r="S31" s="15" t="str">
        <x:v>mixed</x:v>
      </x:c>
      <x:c r="T31" s="15" t="str">
        <x:v>https://blog.google/innovation-and-ai/technology/research/neutral-atom-quantum-computers/</x:v>
      </x:c>
      <x:c r="U31" s="15" t="str">
        <x:v>https://blog.google/innovation-and-ai/technology/research/neutral-atom-quantum-computers/</x:v>
      </x:c>
      <x:c r="V31" s="15" t="str">
        <x:v>Important emerging industrial node. Treat as B/candidate because official announcement confirms neutral atoms, but public details about Rydberg/tweezer architecture are still sparse.</x:v>
      </x:c>
    </x:row>
    <x:row r="32">
      <x:c r="A32" s="15" t="str">
        <x:v>E-031</x:v>
      </x:c>
      <x:c r="B32" s="15" t="str">
        <x:v>CIQC Neutral Atom QIS core</x:v>
      </x:c>
      <x:c r="C32" s="15" t="str">
        <x:v>mixed_team</x:v>
      </x:c>
      <x:c r="D32" s="15" t="str">
        <x:v>B</x:v>
      </x:c>
      <x:c r="E32" s="15" t="str">
        <x:v>candidate</x:v>
      </x:c>
      <x:c r="F32" s="15" t="n">
        <x:v>3</x:v>
      </x:c>
      <x:c r="G32" s="15" t="str">
        <x:v>CIQC neutral atom faculty / collaborators</x:v>
      </x:c>
      <x:c r="H32" s="15" t="str">
        <x:v>Challenge Institute for Quantum Computation / UC Berkeley and partners</x:v>
      </x:c>
      <x:c r="I32" s="15" t="str">
        <x:v>Berkeley</x:v>
      </x:c>
      <x:c r="J32" s="15" t="str">
        <x:v>CA</x:v>
      </x:c>
      <x:c r="K32" s="15" t="str">
        <x:v>United States</x:v>
      </x:c>
      <x:c r="L32" s="15" t="n">
        <x:v>37.8715</x:v>
      </x:c>
      <x:c r="M32" s="15" t="n">
        <x:v>-122.273</x:v>
      </x:c>
      <x:c r="N32" s="15" t="str">
        <x:v>Relevant B</x:v>
      </x:c>
      <x:c r="O32" s="15" t="str">
        <x:v>neutral_atom_qc; optical_tweezers; optical_lattice; rydberg; cavity_qed; gates</x:v>
      </x:c>
      <x:c r="P32" s="15" t="str">
        <x:v>unknown</x:v>
      </x:c>
      <x:c r="Q32" s="15" t="str">
        <x:v>gates; cavity_interfaces; architecture</x:v>
      </x:c>
      <x:c r="R32" s="15" t="str">
        <x:v>mixed</x:v>
      </x:c>
      <x:c r="S32" s="15" t="str">
        <x:v>mixed</x:v>
      </x:c>
      <x:c r="T32" s="15" t="str">
        <x:v>https://ciqc.berkeley.edu/research/research-cores/neutral-atom-qis/</x:v>
      </x:c>
      <x:c r="U32" s="15" t="str">
        <x:v>https://ciqc.berkeley.edu/research/research-cores/neutral-atom-qis/</x:v>
      </x:c>
      <x:c r="V32" s="15" t="str">
        <x:v>Good ecosystem/program node, but not yet resolved to a single lab/PI or paper lineage.</x:v>
      </x:c>
    </x:row>
    <x:row r="33">
      <x:c r="A33" s="15" t="str">
        <x:v>E-032</x:v>
      </x:c>
      <x:c r="B33" s="15" t="str">
        <x:v>Tsinghua 87Rb Rydberg Atom Array</x:v>
      </x:c>
      <x:c r="C33" s="15" t="str">
        <x:v>academic</x:v>
      </x:c>
      <x:c r="D33" s="15" t="str">
        <x:v>A</x:v>
      </x:c>
      <x:c r="E33" s="15" t="str">
        <x:v>verified</x:v>
      </x:c>
      <x:c r="F33" s="15" t="n">
        <x:v>5</x:v>
      </x:c>
      <x:c r="G33" s="15" t="str">
        <x:v>Ultracold Tsinghua / RAA team</x:v>
      </x:c>
      <x:c r="H33" s="15" t="str">
        <x:v>Tsinghua University</x:v>
      </x:c>
      <x:c r="I33" s="15" t="str">
        <x:v>Beijing</x:v>
      </x:c>
      <x:c r="J33" s="15" t="str">
        <x:v>Beijing</x:v>
      </x:c>
      <x:c r="K33" s="15" t="str">
        <x:v>China</x:v>
      </x:c>
      <x:c r="L33" s="15" t="n">
        <x:v>40.0007</x:v>
      </x:c>
      <x:c r="M33" s="15" t="n">
        <x:v>116.3264</x:v>
      </x:c>
      <x:c r="N33" s="15" t="str">
        <x:v>Core A</x:v>
      </x:c>
      <x:c r="O33" s="15" t="str">
        <x:v>rydberg_array; optical_tweezers; neutral_atom_qc; quantum_simulation; atom_sorting</x:v>
      </x:c>
      <x:c r="P33" s="15" t="str">
        <x:v>Rb</x:v>
      </x:c>
      <x:c r="Q33" s="15" t="str">
        <x:v>analog_simulation; blockade; quantum_many_body</x:v>
      </x:c>
      <x:c r="R33" s="15" t="str">
        <x:v>experimental</x:v>
      </x:c>
      <x:c r="S33" s="15" t="str">
        <x:v>mixed</x:v>
      </x:c>
      <x:c r="T33" s="15" t="str">
        <x:v>https://info.phys.tsinghua.edu.cn/coldquantum/raa.html</x:v>
      </x:c>
      <x:c r="U33" s="15" t="str">
        <x:v>https://info.phys.tsinghua.edu.cn/coldquantum/raa.html</x:v>
      </x:c>
      <x:c r="V33" s="15" t="str">
        <x:v>Core China node. Strong fit for target taxonomy: 87Rb, optical tweezers, SLM arrays, Rydberg interactions.</x:v>
      </x:c>
    </x:row>
    <x:row r="34">
      <x:c r="A34" s="15" t="str">
        <x:v>E-033</x:v>
      </x:c>
      <x:c r="B34" s="15" t="str">
        <x:v>Takahashi Yb Rydberg tweezer-array program</x:v>
      </x:c>
      <x:c r="C34" s="15" t="str">
        <x:v>academic</x:v>
      </x:c>
      <x:c r="D34" s="15" t="str">
        <x:v>B</x:v>
      </x:c>
      <x:c r="E34" s="15" t="str">
        <x:v>verified</x:v>
      </x:c>
      <x:c r="F34" s="15" t="n">
        <x:v>4</x:v>
      </x:c>
      <x:c r="G34" s="15" t="str">
        <x:v>Yoshiro Takahashi; Yosuke Takasu; Yuma Nakamura</x:v>
      </x:c>
      <x:c r="H34" s="15" t="str">
        <x:v>Kyoto University</x:v>
      </x:c>
      <x:c r="I34" s="15" t="str">
        <x:v>Kyoto</x:v>
      </x:c>
      <x:c r="J34" s="15" t="str">
        <x:v>Kyoto</x:v>
      </x:c>
      <x:c r="K34" s="15" t="str">
        <x:v>Japan</x:v>
      </x:c>
      <x:c r="L34" s="15" t="n">
        <x:v>35.0262</x:v>
      </x:c>
      <x:c r="M34" s="15" t="n">
        <x:v>135.7808</x:v>
      </x:c>
      <x:c r="N34" s="15" t="str">
        <x:v>Relevant B</x:v>
      </x:c>
      <x:c r="O34" s="15" t="str">
        <x:v>rydberg_array; optical_tweezers; alkaline_earth; ytterbium; spectroscopy; neutral_atom_qc</x:v>
      </x:c>
      <x:c r="P34" s="15" t="str">
        <x:v>Yb</x:v>
      </x:c>
      <x:c r="Q34" s="15" t="str">
        <x:v>single_photon_rydberg; spectroscopy; gates_candidate; quantum_simulation</x:v>
      </x:c>
      <x:c r="R34" s="15" t="str">
        <x:v>experimental</x:v>
      </x:c>
      <x:c r="S34" s="15" t="str">
        <x:v>mixed</x:v>
      </x:c>
      <x:c r="T34" s="15" t="str">
        <x:v>https://www.scphys.kyoto-u.ac.jp/en/</x:v>
      </x:c>
      <x:c r="U34" s="15" t="str">
        <x:v>https://arxiv.org/abs/2204.07995</x:v>
      </x:c>
      <x:c r="V34" s="15" t="str">
        <x:v>Relevant Yb tweezer-Rydberg node. Mark B until an official current lab page and full group identity are normalized.</x:v>
      </x:c>
    </x:row>
    <x:row r="35">
      <x:c r="A35" s="15" t="str">
        <x:v>E-034</x:v>
      </x:c>
      <x:c r="B35" s="15" t="str">
        <x:v>Pupillo Quantum Physics / Rydberg-array theory</x:v>
      </x:c>
      <x:c r="C35" s="15" t="str">
        <x:v>theory_group</x:v>
      </x:c>
      <x:c r="D35" s="15" t="str">
        <x:v>B</x:v>
      </x:c>
      <x:c r="E35" s="15" t="str">
        <x:v>verified</x:v>
      </x:c>
      <x:c r="F35" s="15" t="n">
        <x:v>4</x:v>
      </x:c>
      <x:c r="G35" s="15" t="str">
        <x:v>Guido Pupillo</x:v>
      </x:c>
      <x:c r="H35" s="15" t="str">
        <x:v>Université de Strasbourg / CNRS / CESQ</x:v>
      </x:c>
      <x:c r="I35" s="15" t="str">
        <x:v>Strasbourg</x:v>
      </x:c>
      <x:c r="J35" s="15" t="str">
        <x:v>Grand Est</x:v>
      </x:c>
      <x:c r="K35" s="15" t="str">
        <x:v>France</x:v>
      </x:c>
      <x:c r="L35" s="15" t="n">
        <x:v>48.5839</x:v>
      </x:c>
      <x:c r="M35" s="15" t="n">
        <x:v>7.7455</x:v>
      </x:c>
      <x:c r="N35" s="15" t="str">
        <x:v>Relevant B</x:v>
      </x:c>
      <x:c r="O35" s="15" t="str">
        <x:v>rydberg_array; theory; quantum_simulation; neutral_atom_qc; qec; optimal_control; software</x:v>
      </x:c>
      <x:c r="P35" s="15" t="str">
        <x:v>platform_agnostic</x:v>
      </x:c>
      <x:c r="Q35" s="15" t="str">
        <x:v>qec; gates; optimal_control; simulation; architecture</x:v>
      </x:c>
      <x:c r="R35" s="15" t="str">
        <x:v>no</x:v>
      </x:c>
      <x:c r="S35" s="15" t="str">
        <x:v>theory</x:v>
      </x:c>
      <x:c r="T35" s="15" t="str">
        <x:v>https://isis.unistra.fr/en/cesq/pupillo-quantum-physics/</x:v>
      </x:c>
      <x:c r="U35" s="15" t="str">
        <x:v>https://isis.unistra.fr/en/cesq/pupillo-quantum-physics/</x:v>
      </x:c>
      <x:c r="V35" s="15" t="str">
        <x:v>Core theory/software node for neutral-atom/Rydberg gates and QEC. Useful for non-experimental side of the future ecosystem map.</x:v>
      </x:c>
    </x:row>
    <x:row r="36">
      <x:c r="A36" s="15" t="str">
        <x:v>E-035</x:v>
      </x:c>
      <x:c r="B36" s="15" t="str">
        <x:v>Regal Group cryogenic Rydberg atom arrays</x:v>
      </x:c>
      <x:c r="C36" s="15" t="str">
        <x:v>academic</x:v>
      </x:c>
      <x:c r="D36" s="15" t="str">
        <x:v>B</x:v>
      </x:c>
      <x:c r="E36" s="15" t="str">
        <x:v>verified</x:v>
      </x:c>
      <x:c r="F36" s="15" t="n">
        <x:v>4</x:v>
      </x:c>
      <x:c r="G36" s="15" t="str">
        <x:v>Cindy Regal / Regal group</x:v>
      </x:c>
      <x:c r="H36" s="15" t="str">
        <x:v>JILA / University of Colorado Boulder</x:v>
      </x:c>
      <x:c r="I36" s="15" t="str">
        <x:v>Boulder</x:v>
      </x:c>
      <x:c r="J36" s="15" t="str">
        <x:v>CO</x:v>
      </x:c>
      <x:c r="K36" s="15" t="str">
        <x:v>United States</x:v>
      </x:c>
      <x:c r="L36" s="15" t="n">
        <x:v>40.015</x:v>
      </x:c>
      <x:c r="M36" s="15" t="n">
        <x:v>-105.2705</x:v>
      </x:c>
      <x:c r="N36" s="15" t="str">
        <x:v>Relevant B</x:v>
      </x:c>
      <x:c r="O36" s="15" t="str">
        <x:v>rydberg_array; optical_tweezers; cryogenic; neutral_atom_qc; quantum_simulation; loading</x:v>
      </x:c>
      <x:c r="P36" s="15" t="str">
        <x:v>Rb; bosonic atoms; unknown</x:v>
      </x:c>
      <x:c r="Q36" s="15" t="str">
        <x:v>cryogenic_rydberg_arrays; analog_simulation; loading; platform_methods</x:v>
      </x:c>
      <x:c r="R36" s="15" t="str">
        <x:v>experimental</x:v>
      </x:c>
      <x:c r="S36" s="15" t="str">
        <x:v>mixed</x:v>
      </x:c>
      <x:c r="T36" s="15" t="str">
        <x:v>https://www.colorado.edu/jila/regal-group-research</x:v>
      </x:c>
      <x:c r="U36" s="15" t="str">
        <x:v>https://www.colorado.edu/jila/regal-group-research</x:v>
      </x:c>
      <x:c r="V36" s="15" t="str">
        <x:v>Likely should remain B because it overlaps with Kaufman; still useful as a distinct apparatus/team node for cryogenic Rydberg arrays.</x:v>
      </x:c>
    </x:row>
    <x:row r="37">
      <x:c r="A37" s="15" t="str">
        <x:v>E-036</x:v>
      </x:c>
      <x:c r="B37" s="15" t="str">
        <x:v>Covey Lab photonic interfaces for Rydberg atom arrays</x:v>
      </x:c>
      <x:c r="C37" s="15" t="str">
        <x:v>academic</x:v>
      </x:c>
      <x:c r="D37" s="15" t="str">
        <x:v>B</x:v>
      </x:c>
      <x:c r="E37" s="15" t="str">
        <x:v>verified</x:v>
      </x:c>
      <x:c r="F37" s="15" t="n">
        <x:v>4</x:v>
      </x:c>
      <x:c r="G37" s="15" t="str">
        <x:v>Jacob P. Covey</x:v>
      </x:c>
      <x:c r="H37" s="15" t="str">
        <x:v>University of Illinois Urbana-Champaign</x:v>
      </x:c>
      <x:c r="I37" s="15" t="str">
        <x:v>Urbana-Champaign</x:v>
      </x:c>
      <x:c r="J37" s="15" t="str">
        <x:v>IL</x:v>
      </x:c>
      <x:c r="K37" s="15" t="str">
        <x:v>United States</x:v>
      </x:c>
      <x:c r="L37" s="15" t="n">
        <x:v>40.1106</x:v>
      </x:c>
      <x:c r="M37" s="15" t="n">
        <x:v>-88.2073</x:v>
      </x:c>
      <x:c r="N37" s="15" t="str">
        <x:v>Relevant B</x:v>
      </x:c>
      <x:c r="O37" s="15" t="str">
        <x:v>rydberg_array; optical_tweezers; photonic_interface; neutral_atom_qc; quantum_networks; alkaline_earth</x:v>
      </x:c>
      <x:c r="P37" s="15" t="str">
        <x:v>Sr; Yb; unknown</x:v>
      </x:c>
      <x:c r="Q37" s="15" t="str">
        <x:v>photonic_interfaces; quantum_networks; gates; architecture</x:v>
      </x:c>
      <x:c r="R37" s="15" t="str">
        <x:v>experimental</x:v>
      </x:c>
      <x:c r="S37" s="15" t="str">
        <x:v>mixed</x:v>
      </x:c>
      <x:c r="T37" s="15" t="str">
        <x:v>https://iquist.illinois.edu/people/jacob-covey</x:v>
      </x:c>
      <x:c r="U37" s="15" t="str">
        <x:v>https://iquist.illinois.edu/people/jacob-covey</x:v>
      </x:c>
      <x:c r="V37" s="15" t="str">
        <x:v>Important US node for interfaces/networks, not only standalone processors. Keep B until exact species/platform and active Rydberg-array publications are extracted.</x:v>
      </x:c>
    </x:row>
    <x:row r="38">
      <x:c r="A38" s="15" t="str">
        <x:v>E-037</x:v>
      </x:c>
      <x:c r="B38" s="15" t="str">
        <x:v>Strathclyde neutral-atom/Rydberg entanglement and QEC candidates</x:v>
      </x:c>
      <x:c r="C38" s="15" t="str">
        <x:v>academic</x:v>
      </x:c>
      <x:c r="D38" s="15" t="str">
        <x:v>C</x:v>
      </x:c>
      <x:c r="E38" s="15" t="str">
        <x:v>needs_review</x:v>
      </x:c>
      <x:c r="F38" s="15" t="n">
        <x:v>3</x:v>
      </x:c>
      <x:c r="G38" s="15" t="str">
        <x:v>Jonathan D. Pritchard; Kieran Craig; collaborators</x:v>
      </x:c>
      <x:c r="H38" s="15" t="str">
        <x:v>University of Strathclyde</x:v>
      </x:c>
      <x:c r="I38" s="15" t="str">
        <x:v>Glasgow</x:v>
      </x:c>
      <x:c r="J38" s="15" t="str">
        <x:v>Scotland</x:v>
      </x:c>
      <x:c r="K38" s="15" t="str">
        <x:v>United Kingdom</x:v>
      </x:c>
      <x:c r="L38" s="15" t="n">
        <x:v>55.862</x:v>
      </x:c>
      <x:c r="M38" s="15" t="n">
        <x:v>-4.242</x:v>
      </x:c>
      <x:c r="N38" s="15" t="str">
        <x:v>Adjacent C</x:v>
      </x:c>
      <x:c r="O38" s="15" t="str">
        <x:v>rydberg_atoms; neutral_atom_qc; optical_tweezers_candidate; qec; theory; experimental_history</x:v>
      </x:c>
      <x:c r="P38" s="15" t="str">
        <x:v>Cs; unknown</x:v>
      </x:c>
      <x:c r="Q38" s="15" t="str">
        <x:v>entanglement; qec_candidate; architecture; fast_scrambling</x:v>
      </x:c>
      <x:c r="R38" s="15" t="str">
        <x:v>mixed</x:v>
      </x:c>
      <x:c r="S38" s="15" t="str">
        <x:v>mixed</x:v>
      </x:c>
      <x:c r="T38" s="15" t="str">
        <x:v>https://pureportal.strath.ac.uk/en/publications/deterministic-fast-scrambling-with-neutral-atom-arrays</x:v>
      </x:c>
      <x:c r="U38" s="15" t="str">
        <x:v>https://strathprints.strath.ac.uk/66084/8/Picken_etal_QST2018_Entanglement_of_neutral_atom_qubits_with_long_ground-Rydberg.pdf</x:v>
      </x:c>
      <x:c r="V38" s="15" t="str">
        <x:v>Candidate/adjacent: target relevance is plausible but current optical-tweezer/Rydberg-array experimental status needs primary validation.</x:v>
      </x:c>
    </x:row>
    <x:row r="39">
      <x:c r="A39" s="15" t="str">
        <x:v>E-038</x:v>
      </x:c>
      <x:c r="B39" s="15" t="str">
        <x:v>Loh Lab / Duke neutral-atom arrays</x:v>
      </x:c>
      <x:c r="C39" s="15" t="str">
        <x:v>academic</x:v>
      </x:c>
      <x:c r="D39" s="15" t="str">
        <x:v>B</x:v>
      </x:c>
      <x:c r="E39" s="15" t="str">
        <x:v>verified</x:v>
      </x:c>
      <x:c r="F39" s="15" t="n">
        <x:v>4</x:v>
      </x:c>
      <x:c r="G39" s="15" t="str">
        <x:v>Huanqian Loh</x:v>
      </x:c>
      <x:c r="H39" s="15" t="str">
        <x:v>Duke University</x:v>
      </x:c>
      <x:c r="I39" s="15" t="str">
        <x:v>Durham</x:v>
      </x:c>
      <x:c r="J39" s="15" t="str">
        <x:v>NC</x:v>
      </x:c>
      <x:c r="K39" s="15" t="str">
        <x:v>United States</x:v>
      </x:c>
      <x:c r="L39" s="15" t="n">
        <x:v>35.994</x:v>
      </x:c>
      <x:c r="M39" s="15" t="n">
        <x:v>-78.8986</x:v>
      </x:c>
      <x:c r="N39" s="15" t="str">
        <x:v>Relevant B</x:v>
      </x:c>
      <x:c r="O39" s="15" t="str">
        <x:v>optical_tweezers; rydberg_array; neutral_atom_qc; quantum_simulation; metrology; atom_arrays</x:v>
      </x:c>
      <x:c r="P39" s="15" t="str">
        <x:v>Rb; unknown</x:v>
      </x:c>
      <x:c r="Q39" s="15" t="str">
        <x:v>long_range_interactions; quantum_simulation; quantum_computation; metrology</x:v>
      </x:c>
      <x:c r="R39" s="15" t="str">
        <x:v>experimental</x:v>
      </x:c>
      <x:c r="S39" s="15" t="str">
        <x:v>mixed</x:v>
      </x:c>
      <x:c r="T39" s="15" t="str">
        <x:v>https://lohlab.pratt.duke.edu/research-overview</x:v>
      </x:c>
      <x:c r="U39" s="15" t="str">
        <x:v>https://lohlab.pratt.duke.edu/research-overview</x:v>
      </x:c>
      <x:c r="V39" s="15" t="str">
        <x:v>Useful successor/current node related to earlier CQT Loh atom-array work. Keep B until recent Duke papers explicitly demonstrate Rydberg excitation/control on the new apparatus.</x:v>
      </x:c>
    </x:row>
    <x:row r="40">
      <x:c r="A40" s="15" t="str">
        <x:v>E-039</x:v>
      </x:c>
      <x:c r="B40" s="15" t="str">
        <x:v>USTC / Pan-Lu-Rui large neutral-atom array program</x:v>
      </x:c>
      <x:c r="C40" s="15" t="str">
        <x:v>academic</x:v>
      </x:c>
      <x:c r="D40" s="15" t="str">
        <x:v>B</x:v>
      </x:c>
      <x:c r="E40" s="15" t="str">
        <x:v>verified</x:v>
      </x:c>
      <x:c r="F40" s="15" t="n">
        <x:v>3</x:v>
      </x:c>
      <x:c r="G40" s="15" t="str">
        <x:v>Jian-Wei Pan; Chao-Yang Lu; Jun Rui; collaborators</x:v>
      </x:c>
      <x:c r="H40" s="15" t="str">
        <x:v>University of Science and Technology of China / Shanghai Research Center for Quantum Sciences</x:v>
      </x:c>
      <x:c r="I40" s="15" t="str">
        <x:v>Hefei</x:v>
      </x:c>
      <x:c r="J40" s="15" t="str">
        <x:v>Anhui</x:v>
      </x:c>
      <x:c r="K40" s="15" t="str">
        <x:v>China</x:v>
      </x:c>
      <x:c r="L40" s="15" t="n">
        <x:v>31.8206</x:v>
      </x:c>
      <x:c r="M40" s="15" t="n">
        <x:v>117.2272</x:v>
      </x:c>
      <x:c r="N40" s="15" t="str">
        <x:v>Relevant B</x:v>
      </x:c>
      <x:c r="O40" s="15" t="str">
        <x:v>optical_tweezers; neutral_atom_arrays; atom_sorting; qec_scaling; asian_ecosystem</x:v>
      </x:c>
      <x:c r="P40" s="15" t="str">
        <x:v>Rb</x:v>
      </x:c>
      <x:c r="Q40" s="15" t="str">
        <x:v>architecture; loading; rearrangement; qec_candidate</x:v>
      </x:c>
      <x:c r="R40" s="15" t="str">
        <x:v>experimental</x:v>
      </x:c>
      <x:c r="S40" s="15" t="str">
        <x:v>mixed</x:v>
      </x:c>
      <x:c r="T40" s="15" t="str">
        <x:v>https://quantum.ustc.edu.cn/web/en/publications-sel</x:v>
      </x:c>
      <x:c r="U40" s="15" t="str">
        <x:v>https://arxiv.org/abs/2412.14647</x:v>
      </x:c>
      <x:c r="V40" s="15" t="str">
        <x:v>Added from CAND-020. Strong optical-tweezer/large-array relevance; not yet classified A because the cited scaling paper does not itself prove Rydberg blockade/gates.</x:v>
      </x:c>
    </x:row>
    <x:row r="41">
      <x:c r="A41" s="15" t="str">
        <x:v>E-040</x:v>
      </x:c>
      <x:c r="B41" s="15" t="str">
        <x:v>Durham Rydberg-molecule tweezer platform</x:v>
      </x:c>
      <x:c r="C41" s="15" t="str">
        <x:v>academic</x:v>
      </x:c>
      <x:c r="D41" s="15" t="str">
        <x:v>C</x:v>
      </x:c>
      <x:c r="E41" s="15" t="str">
        <x:v>needs_review</x:v>
      </x:c>
      <x:c r="F41" s="15" t="n">
        <x:v>2</x:v>
      </x:c>
      <x:c r="G41" s="15" t="str">
        <x:v>Simon Cornish; Alexander Guttridge; collaborators</x:v>
      </x:c>
      <x:c r="H41" s="15" t="str">
        <x:v>Durham University</x:v>
      </x:c>
      <x:c r="I41" s="15" t="str">
        <x:v>Durham</x:v>
      </x:c>
      <x:c r="J41" s="15" t="str">
        <x:v>County Durham</x:v>
      </x:c>
      <x:c r="K41" s="15" t="str">
        <x:v>United Kingdom</x:v>
      </x:c>
      <x:c r="L41" s="15" t="n">
        <x:v>54.7753</x:v>
      </x:c>
      <x:c r="M41" s="15" t="n">
        <x:v>-1.5849</x:v>
      </x:c>
      <x:c r="N41" s="15" t="str">
        <x:v>Adjacent C</x:v>
      </x:c>
      <x:c r="O41" s="15" t="str">
        <x:v>optical_tweezers; rydberg_molecules; mixed_species; adjacent_platform</x:v>
      </x:c>
      <x:c r="P41" s="15" t="str">
        <x:v>RbCs; Rb; Cs</x:v>
      </x:c>
      <x:c r="Q41" s="15" t="str">
        <x:v>rydberg_molecules; few_body; adjacent_quantum_simulation</x:v>
      </x:c>
      <x:c r="R41" s="15" t="str">
        <x:v>experimental</x:v>
      </x:c>
      <x:c r="S41" s="15" t="str">
        <x:v>mixed</x:v>
      </x:c>
      <x:c r="T41" s="15" t="str">
        <x:v>https://arxiv.org/abs/2412.14888</x:v>
      </x:c>
      <x:c r="U41" s="15" t="str">
        <x:v>https://arxiv.org/abs/2412.14888</x:v>
      </x:c>
      <x:c r="V41" s="15" t="str">
        <x:v>Adjacent rather than core: Rydberg molecules and mixed-species tweezer assembly are scientifically relevant, but not a standard neutral-atom Rydberg QC/simulation array.</x:v>
      </x:c>
    </x:row>
    <x:row r="42">
      <x:c r="A42" s="15" t="str">
        <x:v>E-041</x:v>
      </x:c>
      <x:c r="B42" s="15" t="str">
        <x:v>Hazzard theory group / Rydberg-tweezer array theory</x:v>
      </x:c>
      <x:c r="C42" s="15" t="str">
        <x:v>theory_group</x:v>
      </x:c>
      <x:c r="D42" s="15" t="str">
        <x:v>B</x:v>
      </x:c>
      <x:c r="E42" s="15" t="str">
        <x:v>verified</x:v>
      </x:c>
      <x:c r="F42" s="15" t="n">
        <x:v>4</x:v>
      </x:c>
      <x:c r="G42" s="15" t="str">
        <x:v>Kaden R. A. Hazzard</x:v>
      </x:c>
      <x:c r="H42" s="15" t="str">
        <x:v>Rice University</x:v>
      </x:c>
      <x:c r="I42" s="15" t="str">
        <x:v>Houston</x:v>
      </x:c>
      <x:c r="J42" s="15" t="str">
        <x:v>TX</x:v>
      </x:c>
      <x:c r="K42" s="15" t="str">
        <x:v>United States</x:v>
      </x:c>
      <x:c r="L42" s="15" t="n">
        <x:v>29.7604</x:v>
      </x:c>
      <x:c r="M42" s="15" t="n">
        <x:v>-95.3698</x:v>
      </x:c>
      <x:c r="N42" s="15" t="str">
        <x:v>Relevant B</x:v>
      </x:c>
      <x:c r="O42" s="15" t="str">
        <x:v>theory; rydberg_array; optical_tweezers; quantum_simulation; synthetic_dimensions; algorithms</x:v>
      </x:c>
      <x:c r="P42" s="15" t="str">
        <x:v>not_applicable</x:v>
      </x:c>
      <x:c r="Q42" s="15" t="str">
        <x:v>theory; quantum_simulation; synthetic_dimensions; many_body</x:v>
      </x:c>
      <x:c r="R42" s="15" t="str">
        <x:v>theory</x:v>
      </x:c>
      <x:c r="S42" s="15" t="str">
        <x:v>theory</x:v>
      </x:c>
      <x:c r="T42" s="15" t="str">
        <x:v>https://kaden.rice.edu/publications.html</x:v>
      </x:c>
      <x:c r="U42" s="15" t="str">
        <x:v>https://kaden.rice.edu/publications.html</x:v>
      </x:c>
      <x:c r="V42" s="15" t="str">
        <x:v>Theory node for non-experimental map layer. Strongly relevant to Rydberg-array simulation, but no hardware apparatus.</x:v>
      </x:c>
    </x:row>
    <x:row r="43">
      <x:c r="A43" s="15" t="str">
        <x:v>E-042</x:v>
      </x:c>
      <x:c r="B43" s="15" t="str">
        <x:v>Schleier-Smith Rydberg-dressing ensemble arrays</x:v>
      </x:c>
      <x:c r="C43" s="15" t="str">
        <x:v>academic</x:v>
      </x:c>
      <x:c r="D43" s="15" t="str">
        <x:v>C</x:v>
      </x:c>
      <x:c r="E43" s="15" t="str">
        <x:v>verified</x:v>
      </x:c>
      <x:c r="F43" s="15" t="n">
        <x:v>3</x:v>
      </x:c>
      <x:c r="G43" s="15" t="str">
        <x:v>Monika Schleier-Smith</x:v>
      </x:c>
      <x:c r="H43" s="15" t="str">
        <x:v>Stanford University</x:v>
      </x:c>
      <x:c r="I43" s="15" t="str">
        <x:v>Stanford</x:v>
      </x:c>
      <x:c r="J43" s="15" t="str">
        <x:v>CA</x:v>
      </x:c>
      <x:c r="K43" s="15" t="str">
        <x:v>United States</x:v>
      </x:c>
      <x:c r="L43" s="15" t="n">
        <x:v>37.4275</x:v>
      </x:c>
      <x:c r="M43" s="15" t="n">
        <x:v>-122.1697</x:v>
      </x:c>
      <x:c r="N43" s="15" t="str">
        <x:v>Adjacent C</x:v>
      </x:c>
      <x:c r="O43" s="15" t="str">
        <x:v>rydberg_dressing; atomic_ensembles; metrology; adjacent_arrays</x:v>
      </x:c>
      <x:c r="P43" s="15" t="str">
        <x:v>Cs</x:v>
      </x:c>
      <x:c r="Q43" s="15" t="str">
        <x:v>spin_squeezing; metrology; rydberg_dressing; many_body</x:v>
      </x:c>
      <x:c r="R43" s="15" t="str">
        <x:v>experimental</x:v>
      </x:c>
      <x:c r="S43" s="15" t="str">
        <x:v>mixed</x:v>
      </x:c>
      <x:c r="T43" s="15" t="str">
        <x:v>https://sites.google.com/stanford.edu/sslab/research/publications</x:v>
      </x:c>
      <x:c r="U43" s="15" t="str">
        <x:v>https://arxiv.org/abs/2303.08805</x:v>
      </x:c>
      <x:c r="V43" s="15" t="str">
        <x:v>Important Rydberg-dressing work, but not clearly an individual-atom optical-tweezer Rydberg processor. Keep as C/adjacent unless a direct tweezer-array apparatus is confirmed.</x:v>
      </x:c>
    </x:row>
    <x:row r="44">
      <x:c r="A44" s="15" t="str">
        <x:v>E-043</x:v>
      </x:c>
      <x:c r="B44" s="15" t="str">
        <x:v>Sandia Neutral Atoms/Rydberg Computing program</x:v>
      </x:c>
      <x:c r="C44" s="15" t="str">
        <x:v>national_lab</x:v>
      </x:c>
      <x:c r="D44" s="15" t="str">
        <x:v>B</x:v>
      </x:c>
      <x:c r="E44" s="15" t="str">
        <x:v>needs_review</x:v>
      </x:c>
      <x:c r="F44" s="15" t="n">
        <x:v>3</x:v>
      </x:c>
      <x:c r="G44" s="15" t="str">
        <x:v>Sandia neutral-atoms/Rydberg team</x:v>
      </x:c>
      <x:c r="H44" s="15" t="str">
        <x:v>Sandia National Laboratories</x:v>
      </x:c>
      <x:c r="I44" s="15" t="str">
        <x:v>Albuquerque</x:v>
      </x:c>
      <x:c r="J44" s="15" t="str">
        <x:v>NM</x:v>
      </x:c>
      <x:c r="K44" s="15" t="str">
        <x:v>United States</x:v>
      </x:c>
      <x:c r="L44" s="15" t="n">
        <x:v>35.0844</x:v>
      </x:c>
      <x:c r="M44" s="15" t="n">
        <x:v>-106.6504</x:v>
      </x:c>
      <x:c r="N44" s="15" t="str">
        <x:v>Relevant B</x:v>
      </x:c>
      <x:c r="O44" s="15" t="str">
        <x:v>neutral_atom_qc; rydberg_computing; national_lab; gates; theory; engineering</x:v>
      </x:c>
      <x:c r="P44" s="15" t="str">
        <x:v>unknown</x:v>
      </x:c>
      <x:c r="Q44" s="15" t="str">
        <x:v>gates; architecture; theory; hardware_methods</x:v>
      </x:c>
      <x:c r="R44" s="15" t="str">
        <x:v>mixed</x:v>
      </x:c>
      <x:c r="S44" s="15" t="str">
        <x:v>mixed</x:v>
      </x:c>
      <x:c r="T44" s="15" t="str">
        <x:v>https://www.sandia.gov/quantum/neutral-atoms-rydberg-computing/</x:v>
      </x:c>
      <x:c r="U44" s="15" t="str">
        <x:v>https://www.sandia.gov/quantum/neutral-atoms-rydberg-computing/</x:v>
      </x:c>
      <x:c r="V44" s="15" t="str">
        <x:v>Strategically relevant US national-lab node. Classified B because public page confirms neutral atoms/Rydberg computing, but not enough detail yet for a core optical-tweezer row.</x:v>
      </x:c>
    </x:row>
    <x:row r="45">
      <x:c r="A45" s="15" t="str">
        <x:v>E-044</x:v>
      </x:c>
      <x:c r="B45" s="15" t="str">
        <x:v>Deutsch CQuIC neutral-atom/Rydberg control theory</x:v>
      </x:c>
      <x:c r="C45" s="15" t="str">
        <x:v>theory_group</x:v>
      </x:c>
      <x:c r="D45" s="15" t="str">
        <x:v>B</x:v>
      </x:c>
      <x:c r="E45" s="15" t="str">
        <x:v>verified</x:v>
      </x:c>
      <x:c r="F45" s="15" t="n">
        <x:v>4</x:v>
      </x:c>
      <x:c r="G45" s="15" t="str">
        <x:v>Ivan H. Deutsch</x:v>
      </x:c>
      <x:c r="H45" s="15" t="str">
        <x:v>University of New Mexico</x:v>
      </x:c>
      <x:c r="I45" s="15" t="str">
        <x:v>Albuquerque</x:v>
      </x:c>
      <x:c r="J45" s="15" t="str">
        <x:v>NM</x:v>
      </x:c>
      <x:c r="K45" s="15" t="str">
        <x:v>United States</x:v>
      </x:c>
      <x:c r="L45" s="15" t="n">
        <x:v>35.0844</x:v>
      </x:c>
      <x:c r="M45" s="15" t="n">
        <x:v>-106.6504</x:v>
      </x:c>
      <x:c r="N45" s="15" t="str">
        <x:v>Relevant B</x:v>
      </x:c>
      <x:c r="O45" s="15" t="str">
        <x:v>rydberg_array; quantum_control; neutral_atom_qc; qec; qudits; theory</x:v>
      </x:c>
      <x:c r="P45" s="15" t="str">
        <x:v>generic; Rb; Cs</x:v>
      </x:c>
      <x:c r="Q45" s="15" t="str">
        <x:v>quantum_control; Dicke_manifold; architecture; qec; neutral_atom_theory</x:v>
      </x:c>
      <x:c r="R45" s="15" t="str">
        <x:v>no</x:v>
      </x:c>
      <x:c r="S45" s="15" t="str">
        <x:v>yes</x:v>
      </x:c>
      <x:c r="T45" s="15" t="str">
        <x:v>https://cquic.unm.edu/people/ivan-deutsch/index.html</x:v>
      </x:c>
      <x:c r="U45" s="15" t="str">
        <x:v>https://cquic.unm.edu/people/ivan-deutsch/index.html</x:v>
      </x:c>
      <x:c r="V45" s="15" t="str">
        <x:v>Promoted in v0.9 from arXiv PI map. Strong theory/control node; not an experimental tweezer lab.</x:v>
      </x:c>
    </x:row>
    <x:row r="46">
      <x:c r="A46" s="15" t="str">
        <x:v>E-045</x:v>
      </x:c>
      <x:c r="B46" s="15" t="str">
        <x:v>Misguich / IPhT Rydberg-array control and random-state theory</x:v>
      </x:c>
      <x:c r="C46" s="15" t="str">
        <x:v>theory_group</x:v>
      </x:c>
      <x:c r="D46" s="15" t="str">
        <x:v>B</x:v>
      </x:c>
      <x:c r="E46" s="15" t="str">
        <x:v>verified</x:v>
      </x:c>
      <x:c r="F46" s="15" t="n">
        <x:v>4</x:v>
      </x:c>
      <x:c r="G46" s="15" t="str">
        <x:v>Grégoire Misguich</x:v>
      </x:c>
      <x:c r="H46" s="15" t="str">
        <x:v>CEA / Institut de Physique Théorique (IPhT), Université Paris-Saclay</x:v>
      </x:c>
      <x:c r="I46" s="15" t="str">
        <x:v>Saclay / Gif-sur-Yvette</x:v>
      </x:c>
      <x:c r="J46" s="15" t="str">
        <x:v>Île-de-France</x:v>
      </x:c>
      <x:c r="K46" s="15" t="str">
        <x:v>France</x:v>
      </x:c>
      <x:c r="L46" s="15" t="n">
        <x:v>48.729</x:v>
      </x:c>
      <x:c r="M46" s="15" t="n">
        <x:v>2.148</x:v>
      </x:c>
      <x:c r="N46" s="15" t="str">
        <x:v>Relevant B</x:v>
      </x:c>
      <x:c r="O46" s="15" t="str">
        <x:v>rydberg_array; theory; control; random_state_generation; spin_squeezing</x:v>
      </x:c>
      <x:c r="P46" s="15" t="str">
        <x:v>generic</x:v>
      </x:c>
      <x:c r="Q46" s="15" t="str">
        <x:v>state_preparation; control; random_states; spin_squeezing; quantum_simulation_theory</x:v>
      </x:c>
      <x:c r="R46" s="15" t="str">
        <x:v>no</x:v>
      </x:c>
      <x:c r="S46" s="15" t="str">
        <x:v>yes</x:v>
      </x:c>
      <x:c r="T46" s="15" t="str">
        <x:v>https://www.ipht.fr/en/pisp/gregoire-misguich-2/</x:v>
      </x:c>
      <x:c r="U46" s="15" t="str">
        <x:v>https://www.ipht.fr/en/pisp/gregoire-misguich-2/</x:v>
      </x:c>
      <x:c r="V46" s="15" t="str">
        <x:v>Promoted in v0.9 as a local France/Saclay theory/control node with direct Rydberg-array papers.</x:v>
      </x:c>
    </x:row>
    <x:row r="47">
      <x:c r="A47" s="15" t="str">
        <x:v>E-046</x:v>
      </x:c>
      <x:c r="B47" s="15" t="str">
        <x:v>Serbyn Quantum Dynamics &amp; Condensed Matter group</x:v>
      </x:c>
      <x:c r="C47" s="15" t="str">
        <x:v>theory_group</x:v>
      </x:c>
      <x:c r="D47" s="15" t="str">
        <x:v>B</x:v>
      </x:c>
      <x:c r="E47" s="15" t="str">
        <x:v>verified</x:v>
      </x:c>
      <x:c r="F47" s="15" t="n">
        <x:v>3</x:v>
      </x:c>
      <x:c r="G47" s="15" t="str">
        <x:v>Maksym Serbyn</x:v>
      </x:c>
      <x:c r="H47" s="15" t="str">
        <x:v>Institute of Science and Technology Austria (ISTA)</x:v>
      </x:c>
      <x:c r="I47" s="15" t="str">
        <x:v>Klosterneuburg</x:v>
      </x:c>
      <x:c r="J47" s="15" t="str">
        <x:v>Lower Austria</x:v>
      </x:c>
      <x:c r="K47" s="15" t="str">
        <x:v>Austria</x:v>
      </x:c>
      <x:c r="L47" s="15" t="n">
        <x:v>48.3097</x:v>
      </x:c>
      <x:c r="M47" s="15" t="n">
        <x:v>16.2595</x:v>
      </x:c>
      <x:c r="N47" s="15" t="str">
        <x:v>Relevant B</x:v>
      </x:c>
      <x:c r="O47" s="15" t="str">
        <x:v>rydberg_array; many_body_scars; thermalization; solitons; theory</x:v>
      </x:c>
      <x:c r="P47" s="15" t="str">
        <x:v>generic</x:v>
      </x:c>
      <x:c r="Q47" s="15" t="str">
        <x:v>many_body_scars; non_equilibrium; rydberg_chain_theory; quantum_simulation_theory</x:v>
      </x:c>
      <x:c r="R47" s="15" t="str">
        <x:v>no</x:v>
      </x:c>
      <x:c r="S47" s="15" t="str">
        <x:v>yes</x:v>
      </x:c>
      <x:c r="T47" s="15" t="str">
        <x:v>https://serbyn.github.io/site/</x:v>
      </x:c>
      <x:c r="U47" s="15" t="str">
        <x:v>https://serbyn.github.io/site/</x:v>
      </x:c>
      <x:c r="V47" s="15" t="str">
        <x:v>Promoted in v0.9 as a theory node. Relevance is Rydberg-array many-body theory; optical-tweezer implementation is indirect.</x:v>
      </x:c>
    </x:row>
    <x:row r="48">
      <x:c r="A48" s="15" t="str">
        <x:v>E-047</x:v>
      </x:c>
      <x:c r="B48" s="15" t="str">
        <x:v>Carrasquilla quantum many-body ML for Rydberg arrays</x:v>
      </x:c>
      <x:c r="C48" s="15" t="str">
        <x:v>theory_group</x:v>
      </x:c>
      <x:c r="D48" s="15" t="str">
        <x:v>B</x:v>
      </x:c>
      <x:c r="E48" s="15" t="str">
        <x:v>verified</x:v>
      </x:c>
      <x:c r="F48" s="15" t="n">
        <x:v>3</x:v>
      </x:c>
      <x:c r="G48" s="15" t="str">
        <x:v>Juan Carrasquilla</x:v>
      </x:c>
      <x:c r="H48" s="15" t="str">
        <x:v>ETH Zurich</x:v>
      </x:c>
      <x:c r="I48" s="15" t="str">
        <x:v>Zurich</x:v>
      </x:c>
      <x:c r="J48" s="15" t="str">
        <x:v>Zurich</x:v>
      </x:c>
      <x:c r="K48" s="15" t="str">
        <x:v>Switzerland</x:v>
      </x:c>
      <x:c r="L48" s="15" t="n">
        <x:v>47.3769</x:v>
      </x:c>
      <x:c r="M48" s="15" t="n">
        <x:v>8.5417</x:v>
      </x:c>
      <x:c r="N48" s="15" t="str">
        <x:v>Relevant B</x:v>
      </x:c>
      <x:c r="O48" s="15" t="str">
        <x:v>rydberg_array; theory; machine_learning; variational_wavefunctions</x:v>
      </x:c>
      <x:c r="P48" s="15" t="str">
        <x:v>generic</x:v>
      </x:c>
      <x:c r="Q48" s="15" t="str">
        <x:v>many_body_theory; machine_learning; quantum_simulation_benchmarking</x:v>
      </x:c>
      <x:c r="R48" s="15" t="str">
        <x:v>no</x:v>
      </x:c>
      <x:c r="S48" s="15" t="str">
        <x:v>yes</x:v>
      </x:c>
      <x:c r="T48" s="15" t="str">
        <x:v>https://www.phys.ethz.ch/news-and-events/d-phys-news/2023/12/new-year-new-professors.html</x:v>
      </x:c>
      <x:c r="U48" s="15" t="str">
        <x:v>https://arxiv.org/abs/2405.20384</x:v>
      </x:c>
      <x:c r="V48" s="15" t="str">
        <x:v>Promoted in v0.9 as ML/theory node for Rydberg-array wavefunctions; not a hardware group.</x:v>
      </x:c>
    </x:row>
    <x:row r="49">
      <x:c r="A49" s="15" t="str">
        <x:v>E-048</x:v>
      </x:c>
      <x:c r="B49" s="15" t="str">
        <x:v>Jin-Guo Liu / Quantum Bay Rydberg-array algorithms and QEC</x:v>
      </x:c>
      <x:c r="C49" s="15" t="str">
        <x:v>theory_group</x:v>
      </x:c>
      <x:c r="D49" s="15" t="str">
        <x:v>B</x:v>
      </x:c>
      <x:c r="E49" s="15" t="str">
        <x:v>verified</x:v>
      </x:c>
      <x:c r="F49" s="15" t="n">
        <x:v>4</x:v>
      </x:c>
      <x:c r="G49" s="15" t="str">
        <x:v>Jin-Guo Liu</x:v>
      </x:c>
      <x:c r="H49" s="15" t="str">
        <x:v>Hong Kong University of Science and Technology (Guangzhou)</x:v>
      </x:c>
      <x:c r="I49" s="15" t="str">
        <x:v>Guangzhou</x:v>
      </x:c>
      <x:c r="J49" s="15" t="str">
        <x:v>Guangdong</x:v>
      </x:c>
      <x:c r="K49" s="15" t="str">
        <x:v>China</x:v>
      </x:c>
      <x:c r="L49" s="15" t="n">
        <x:v>23.1291</x:v>
      </x:c>
      <x:c r="M49" s="15" t="n">
        <x:v>113.2644</x:v>
      </x:c>
      <x:c r="N49" s="15" t="str">
        <x:v>Relevant B</x:v>
      </x:c>
      <x:c r="O49" s="15" t="str">
        <x:v>rydberg_array; algorithms; qec; tensor_networks; optimization; software</x:v>
      </x:c>
      <x:c r="P49" s="15" t="str">
        <x:v>generic</x:v>
      </x:c>
      <x:c r="Q49" s="15" t="str">
        <x:v>qec; globally_controlled_arrays; optimization; tensor_networks; software</x:v>
      </x:c>
      <x:c r="R49" s="15" t="str">
        <x:v>no</x:v>
      </x:c>
      <x:c r="S49" s="15" t="str">
        <x:v>yes</x:v>
      </x:c>
      <x:c r="T49" s="15" t="str">
        <x:v>https://www.jinguo-group.science/</x:v>
      </x:c>
      <x:c r="U49" s="15" t="str">
        <x:v>https://www.jinguo-group.science/</x:v>
      </x:c>
      <x:c r="V49" s="15" t="str">
        <x:v>Promoted in v0.9. Affiliation resolved from group/faculty pages; paper is theory/QEC for neutral-atom Rydberg arrays.</x:v>
      </x:c>
    </x:row>
    <x:row r="50">
      <x:c r="A50" s="15" t="str">
        <x:v>E-049</x:v>
      </x:c>
      <x:c r="B50" s="15" t="str">
        <x:v>Pengfei Zhang / Fudan spin-phonon Rydberg-array theory</x:v>
      </x:c>
      <x:c r="C50" s="15" t="str">
        <x:v>theory_group</x:v>
      </x:c>
      <x:c r="D50" s="15" t="str">
        <x:v>B</x:v>
      </x:c>
      <x:c r="E50" s="15" t="str">
        <x:v>verified</x:v>
      </x:c>
      <x:c r="F50" s="15" t="n">
        <x:v>4</x:v>
      </x:c>
      <x:c r="G50" s="15" t="str">
        <x:v>Pengfei Zhang</x:v>
      </x:c>
      <x:c r="H50" s="15" t="str">
        <x:v>Fudan University</x:v>
      </x:c>
      <x:c r="I50" s="15" t="str">
        <x:v>Shanghai</x:v>
      </x:c>
      <x:c r="J50" s="15" t="str">
        <x:v>Shanghai</x:v>
      </x:c>
      <x:c r="K50" s="15" t="str">
        <x:v>China</x:v>
      </x:c>
      <x:c r="L50" s="15" t="n">
        <x:v>31.2304</x:v>
      </x:c>
      <x:c r="M50" s="15" t="n">
        <x:v>121.4737</x:v>
      </x:c>
      <x:c r="N50" s="15" t="str">
        <x:v>Relevant B</x:v>
      </x:c>
      <x:c r="O50" s="15" t="str">
        <x:v>rydberg_array; spin_phonon_coupling; many_body_theory; quantum_simulation</x:v>
      </x:c>
      <x:c r="P50" s="15" t="str">
        <x:v>generic</x:v>
      </x:c>
      <x:c r="Q50" s="15" t="str">
        <x:v>spin_phonon; many_body_physics; quantum_simulation_theory; thermalization</x:v>
      </x:c>
      <x:c r="R50" s="15" t="str">
        <x:v>no</x:v>
      </x:c>
      <x:c r="S50" s="15" t="str">
        <x:v>yes</x:v>
      </x:c>
      <x:c r="T50" s="15" t="str">
        <x:v>https://scholar.google.com/citations?user=xvhhFXgAAAAJ</x:v>
      </x:c>
      <x:c r="U50" s="15" t="str">
        <x:v>https://arxiv.org/abs/2507.16751</x:v>
      </x:c>
      <x:c r="V50" s="15" t="str">
        <x:v>Promoted in v0.9. Direct theory paper explicitly invokes optical-tweezer vibrations/spin-phonon coupling in Rydberg arrays.</x:v>
      </x:c>
    </x:row>
    <x:row r="51">
      <x:c r="A51" s="15" t="str">
        <x:v>E-050</x:v>
      </x:c>
      <x:c r="B51" s="15" t="str">
        <x:v>Pai Peng / Peking Yb optical-tweezer array program</x:v>
      </x:c>
      <x:c r="C51" s="15" t="str">
        <x:v>academic</x:v>
      </x:c>
      <x:c r="D51" s="15" t="str">
        <x:v>B</x:v>
      </x:c>
      <x:c r="E51" s="15" t="str">
        <x:v>verified</x:v>
      </x:c>
      <x:c r="F51" s="15" t="n">
        <x:v>4</x:v>
      </x:c>
      <x:c r="G51" s="15" t="str">
        <x:v>Pai Peng; Sheng Zhang; Qihuang Gong</x:v>
      </x:c>
      <x:c r="H51" s="15" t="str">
        <x:v>Peking University</x:v>
      </x:c>
      <x:c r="I51" s="15" t="str">
        <x:v>Beijing</x:v>
      </x:c>
      <x:c r="J51" s="15" t="str">
        <x:v>Beijing</x:v>
      </x:c>
      <x:c r="K51" s="15" t="str">
        <x:v>China</x:v>
      </x:c>
      <x:c r="L51" s="15" t="n">
        <x:v>39.9042</x:v>
      </x:c>
      <x:c r="M51" s="15" t="n">
        <x:v>116.4074</x:v>
      </x:c>
      <x:c r="N51" s="15" t="str">
        <x:v>Relevant B</x:v>
      </x:c>
      <x:c r="O51" s="15" t="str">
        <x:v>optical_tweezers; alkaline_earth; Yb; neutral_atom_qc; rydberg_gate_estimates</x:v>
      </x:c>
      <x:c r="P51" s="15" t="str">
        <x:v>Yb</x:v>
      </x:c>
      <x:c r="Q51" s="15" t="str">
        <x:v>platform_scaling; loading; proposed_gates; alkaline_earth_arrays</x:v>
      </x:c>
      <x:c r="R51" s="15" t="str">
        <x:v>experimental</x:v>
      </x:c>
      <x:c r="S51" s="15" t="str">
        <x:v>mixed</x:v>
      </x:c>
      <x:c r="T51" s="15" t="str">
        <x:v>https://scholar.google.com/citations?user=pZNLmTIAAAAJ</x:v>
      </x:c>
      <x:c r="U51" s="15" t="str">
        <x:v>https://arxiv.org/abs/2512.19795</x:v>
      </x:c>
      <x:c r="V51" s="15" t="str">
        <x:v>Promoted in v0.9 as B, not A: optical tweezer/Yb scaling is clear; Rydberg role is prospective/estimated rather than demonstrated in this paper.</x:v>
      </x:c>
    </x:row>
    <x:row r="52">
      <x:c r="A52" s="15" t="str">
        <x:v>E-051</x:v>
      </x:c>
      <x:c r="B52" s="15" t="str">
        <x:v>Burgers Lab Yb atom-array architecture</x:v>
      </x:c>
      <x:c r="C52" s="15" t="str">
        <x:v>academic</x:v>
      </x:c>
      <x:c r="D52" s="15" t="str">
        <x:v>B</x:v>
      </x:c>
      <x:c r="E52" s="15" t="str">
        <x:v>verified</x:v>
      </x:c>
      <x:c r="F52" s="15" t="n">
        <x:v>4</x:v>
      </x:c>
      <x:c r="G52" s="15" t="str">
        <x:v>Alex P. Burgers</x:v>
      </x:c>
      <x:c r="H52" s="15" t="str">
        <x:v>University of Michigan</x:v>
      </x:c>
      <x:c r="I52" s="15" t="str">
        <x:v>Ann Arbor</x:v>
      </x:c>
      <x:c r="J52" s="15" t="str">
        <x:v>MI</x:v>
      </x:c>
      <x:c r="K52" s="15" t="str">
        <x:v>United States</x:v>
      </x:c>
      <x:c r="L52" s="15" t="n">
        <x:v>42.2808</x:v>
      </x:c>
      <x:c r="M52" s="15" t="n">
        <x:v>-83.743</x:v>
      </x:c>
      <x:c r="N52" s="15" t="str">
        <x:v>Relevant B</x:v>
      </x:c>
      <x:c r="O52" s="15" t="str">
        <x:v>optical_tweezers; Yb; neutral_atom_qc; qec_architecture; rydberg_entanglement</x:v>
      </x:c>
      <x:c r="P52" s="15" t="str">
        <x:v>Yb</x:v>
      </x:c>
      <x:c r="Q52" s="15" t="str">
        <x:v>architecture; metastable_encoding; qec; rydberg_entanglement</x:v>
      </x:c>
      <x:c r="R52" s="15" t="str">
        <x:v>mixed</x:v>
      </x:c>
      <x:c r="S52" s="15" t="str">
        <x:v>mixed</x:v>
      </x:c>
      <x:c r="T52" s="15" t="str">
        <x:v>https://ece.engin.umich.edu/stories/alex-burgers-awarded-aro-support-for-research-on-long-lasting-qubit-states-in-ytterbium</x:v>
      </x:c>
      <x:c r="U52" s="15" t="str">
        <x:v>https://arxiv.org/abs/2606.08453</x:v>
      </x:c>
      <x:c r="V52" s="15" t="str">
        <x:v>Promoted in v0.9 from candidate. Architecture/theory/hardware-direction node; Rydberg-mediated entanglement is in scope.</x:v>
      </x:c>
    </x:row>
    <x:row r="53">
      <x:c r="A53" s="15" t="str">
        <x:v>E-052</x:v>
      </x:c>
      <x:c r="B53" s="15" t="str">
        <x:v>Ni Group dual-species atom quantum simulator</x:v>
      </x:c>
      <x:c r="C53" s="15" t="str">
        <x:v>academic</x:v>
      </x:c>
      <x:c r="D53" s="15" t="str">
        <x:v>A</x:v>
      </x:c>
      <x:c r="E53" s="15" t="str">
        <x:v>verified</x:v>
      </x:c>
      <x:c r="F53" s="15" t="n">
        <x:v>5</x:v>
      </x:c>
      <x:c r="G53" s="15" t="str">
        <x:v>Kang-Kuen Ni</x:v>
      </x:c>
      <x:c r="H53" s="15" t="str">
        <x:v>Harvard University</x:v>
      </x:c>
      <x:c r="I53" s="15" t="str">
        <x:v>Cambridge</x:v>
      </x:c>
      <x:c r="J53" s="15" t="str">
        <x:v>MA</x:v>
      </x:c>
      <x:c r="K53" s="15" t="str">
        <x:v>United States</x:v>
      </x:c>
      <x:c r="L53" s="15" t="n">
        <x:v>42.3736</x:v>
      </x:c>
      <x:c r="M53" s="15" t="n">
        <x:v>-71.1097</x:v>
      </x:c>
      <x:c r="N53" s="15" t="str">
        <x:v>Core A</x:v>
      </x:c>
      <x:c r="O53" s="15" t="str">
        <x:v>dual_species; optical_tweezers; rydberg_array; qec; neutral_atom_qc; molecules</x:v>
      </x:c>
      <x:c r="P53" s="15" t="str">
        <x:v>Na; Cs; molecules</x:v>
      </x:c>
      <x:c r="Q53" s="15" t="str">
        <x:v>stabilizer_readout; dual_species_gates; blockade; qec; quantum_simulation</x:v>
      </x:c>
      <x:c r="R53" s="15" t="str">
        <x:v>experimental</x:v>
      </x:c>
      <x:c r="S53" s="15" t="str">
        <x:v>mixed</x:v>
      </x:c>
      <x:c r="T53" s="15" t="str">
        <x:v>https://kni.faculty.chemistry.harvard.edu/dual-species-atom-quantum-simulator</x:v>
      </x:c>
      <x:c r="U53" s="15" t="str">
        <x:v>https://kni.faculty.chemistry.harvard.edu/dual-species-atom-quantum-simulator</x:v>
      </x:c>
      <x:c r="V53" s="15" t="str">
        <x:v>Promoted in v0.9 as separate Harvard experimental node; distinct enough from Lukin due to dual-species Na/Cs and molecule/atom-array orientation.</x:v>
      </x:c>
    </x:row>
    <x:row r="54">
      <x:c r="A54" s="15" t="str">
        <x:v>E-053</x:v>
      </x:c>
      <x:c r="B54" s="15" t="str">
        <x:v>Bilitewski Rydberg-array squeezing theory</x:v>
      </x:c>
      <x:c r="C54" s="15" t="str">
        <x:v>theory_group</x:v>
      </x:c>
      <x:c r="D54" s="15" t="str">
        <x:v>C</x:v>
      </x:c>
      <x:c r="E54" s="15" t="str">
        <x:v>verified</x:v>
      </x:c>
      <x:c r="F54" s="15" t="n">
        <x:v>2</x:v>
      </x:c>
      <x:c r="G54" s="15" t="str">
        <x:v>Thomas Bilitewski</x:v>
      </x:c>
      <x:c r="H54" s="15" t="str">
        <x:v>Oklahoma State University</x:v>
      </x:c>
      <x:c r="I54" s="15" t="str">
        <x:v>Stillwater</x:v>
      </x:c>
      <x:c r="J54" s="15" t="str">
        <x:v>OK</x:v>
      </x:c>
      <x:c r="K54" s="15" t="str">
        <x:v>United States</x:v>
      </x:c>
      <x:c r="L54" s="15" t="n">
        <x:v>36.1156</x:v>
      </x:c>
      <x:c r="M54" s="15" t="n">
        <x:v>-97.0584</x:v>
      </x:c>
      <x:c r="N54" s="15" t="str">
        <x:v>Adjacent C</x:v>
      </x:c>
      <x:c r="O54" s="15" t="str">
        <x:v>rydberg_array; theory; metrology; squeezing; qudits</x:v>
      </x:c>
      <x:c r="P54" s="15" t="str">
        <x:v>generic</x:v>
      </x:c>
      <x:c r="Q54" s="15" t="str">
        <x:v>spin_nematic_squeezing; metrology; dipolar_rydberg_theory</x:v>
      </x:c>
      <x:c r="R54" s="15" t="str">
        <x:v>no</x:v>
      </x:c>
      <x:c r="S54" s="15" t="str">
        <x:v>yes</x:v>
      </x:c>
      <x:c r="T54" s="15" t="str">
        <x:v>https://arxiv.org/html/2605.00096v1</x:v>
      </x:c>
      <x:c r="U54" s="15" t="str">
        <x:v>https://arxiv.org/abs/2605.00096</x:v>
      </x:c>
      <x:c r="V54" s="15" t="str">
        <x:v>Promoted in v0.9 as adjacent theory node. Kept C because relevance is theory/metrology; not a group centered on tweezer hardware.</x:v>
      </x:c>
    </x:row>
    <x:row r="55">
      <x:c r="A55" s="15" t="str">
        <x:v>E-054</x:v>
      </x:c>
      <x:c r="B55" s="15" t="str">
        <x:v>Katzgraber / Amazon Advanced Solutions Lab Rydberg-array compilation</x:v>
      </x:c>
      <x:c r="C55" s="15" t="str">
        <x:v>company_team</x:v>
      </x:c>
      <x:c r="D55" s="15" t="str">
        <x:v>B</x:v>
      </x:c>
      <x:c r="E55" s="15" t="str">
        <x:v>verified</x:v>
      </x:c>
      <x:c r="F55" s="15" t="n">
        <x:v>4</x:v>
      </x:c>
      <x:c r="G55" s="15" t="str">
        <x:v>Helmut G. Katzgraber; Martin J. A. Schuetz; Amazon/JPMorgan collaborators</x:v>
      </x:c>
      <x:c r="H55" s="15" t="str">
        <x:v>Amazon Advanced Solutions Lab / AWS</x:v>
      </x:c>
      <x:c r="I55" s="15" t="str">
        <x:v>Seattle</x:v>
      </x:c>
      <x:c r="J55" s="15" t="str">
        <x:v>WA</x:v>
      </x:c>
      <x:c r="K55" s="15" t="str">
        <x:v>United States</x:v>
      </x:c>
      <x:c r="L55" s="15" t="n">
        <x:v>47.6062</x:v>
      </x:c>
      <x:c r="M55" s="15" t="n">
        <x:v>-122.3321</x:v>
      </x:c>
      <x:c r="N55" s="15" t="str">
        <x:v>Relevant B</x:v>
      </x:c>
      <x:c r="O55" s="15" t="str">
        <x:v>rydberg_array; compilation; optimization; MIS; software; benchmarking; cloud_hardware</x:v>
      </x:c>
      <x:c r="P55" s="15" t="str">
        <x:v>generic</x:v>
      </x:c>
      <x:c r="Q55" s="15" t="str">
        <x:v>compilation; MIS; hardware_compatibility; graph_embedding; quantum_optimization</x:v>
      </x:c>
      <x:c r="R55" s="15" t="str">
        <x:v>no</x:v>
      </x:c>
      <x:c r="S55" s="15" t="str">
        <x:v>yes</x:v>
      </x:c>
      <x:c r="T55" s="15" t="str">
        <x:v>https://arxiv.org/abs/2412.14976</x:v>
      </x:c>
      <x:c r="U55" s="15" t="str">
        <x:v>https://arxiv.org/html/2412.14976v1</x:v>
      </x:c>
      <x:c r="V55" s="15" t="str">
        <x:v>Promoted in v1.0 from QC. This is not a hardware lab, but it is a relevant company/software node for Rydberg-array compilation and near-term MIS workflows.</x:v>
      </x:c>
    </x:row>
    <x:row r="56">
      <x:c r="A56" s="15" t="str">
        <x:v>E-055</x:v>
      </x:c>
      <x:c r="B56" s="15" t="str">
        <x:v>Heng Shen atomic-array quantum computation and simulation lab</x:v>
      </x:c>
      <x:c r="C56" s="15" t="str">
        <x:v>academic</x:v>
      </x:c>
      <x:c r="D56" s="15" t="str">
        <x:v>B</x:v>
      </x:c>
      <x:c r="E56" s="15" t="str">
        <x:v>verified</x:v>
      </x:c>
      <x:c r="F56" s="15" t="n">
        <x:v>4</x:v>
      </x:c>
      <x:c r="G56" s="15" t="str">
        <x:v>Heng Shen</x:v>
      </x:c>
      <x:c r="H56" s="15" t="str">
        <x:v>Shanxi University</x:v>
      </x:c>
      <x:c r="I56" s="15" t="str">
        <x:v>Taiyuan</x:v>
      </x:c>
      <x:c r="J56" s="15" t="str">
        <x:v>Shanxi</x:v>
      </x:c>
      <x:c r="K56" s="15" t="str">
        <x:v>China</x:v>
      </x:c>
      <x:c r="L56" s="15" t="n">
        <x:v>37.8706</x:v>
      </x:c>
      <x:c r="M56" s="15" t="n">
        <x:v>112.5489</x:v>
      </x:c>
      <x:c r="N56" s="15" t="str">
        <x:v>Relevant B</x:v>
      </x:c>
      <x:c r="O56" s="15" t="str">
        <x:v>rydberg_array; atom_array; quantum_simulation; metrology; theory_experiment_mix</x:v>
      </x:c>
      <x:c r="P56" s="15" t="str">
        <x:v>unknown</x:v>
      </x:c>
      <x:c r="Q56" s="15" t="str">
        <x:v>state_preparation; ordered_states; metrology; quantum_simulation; neutral_atom_arrays</x:v>
      </x:c>
      <x:c r="R56" s="15" t="str">
        <x:v>mixed</x:v>
      </x:c>
      <x:c r="S56" s="15" t="str">
        <x:v>mixed</x:v>
      </x:c>
      <x:c r="T56" s="15" t="str">
        <x:v>https://ioe.sxu.edu.cn/sys/labs14/Team14/index.htm</x:v>
      </x:c>
      <x:c r="U56" s="15" t="str">
        <x:v>https://ioe.sxu.edu.cn/sys/labs14/Team14/index.htm</x:v>
      </x:c>
      <x:c r="V56" s="15" t="str">
        <x:v>Promoted in v1.0. Official lab page identifies Heng Shen as PI; recent papers explicitly discuss Rydberg/neutral-atom arrays. Exact experimental setup still needs validation.</x:v>
      </x:c>
    </x:row>
    <x:row r="57">
      <x:c r="A57" s="15" t="str">
        <x:v>E-056</x:v>
      </x:c>
      <x:c r="B57" s="15" t="str">
        <x:v>Xiangliang Li / BAQIS cold-atom and Rydberg-theory node</x:v>
      </x:c>
      <x:c r="C57" s="15" t="str">
        <x:v>theory_group</x:v>
      </x:c>
      <x:c r="D57" s="15" t="str">
        <x:v>C</x:v>
      </x:c>
      <x:c r="E57" s="15" t="str">
        <x:v>verified</x:v>
      </x:c>
      <x:c r="F57" s="15" t="n">
        <x:v>2</x:v>
      </x:c>
      <x:c r="G57" s="15" t="str">
        <x:v>Xiangliang Li</x:v>
      </x:c>
      <x:c r="H57" s="15" t="str">
        <x:v>Beijing Academy of Quantum Information Sciences (BAQIS)</x:v>
      </x:c>
      <x:c r="I57" s="15" t="str">
        <x:v>Beijing</x:v>
      </x:c>
      <x:c r="J57" s="15" t="str">
        <x:v>Beijing</x:v>
      </x:c>
      <x:c r="K57" s="15" t="str">
        <x:v>China</x:v>
      </x:c>
      <x:c r="L57" s="15" t="n">
        <x:v>39.9042</x:v>
      </x:c>
      <x:c r="M57" s="15" t="n">
        <x:v>116.4074</x:v>
      </x:c>
      <x:c r="N57" s="15" t="str">
        <x:v>Adjacent C</x:v>
      </x:c>
      <x:c r="O57" s="15" t="str">
        <x:v>cold_atoms; rydberg_gates; theory; quantum_precision_measurement; adjacent</x:v>
      </x:c>
      <x:c r="P57" s="15" t="str">
        <x:v>generic</x:v>
      </x:c>
      <x:c r="Q57" s="15" t="str">
        <x:v>gate_theory; many_body_theory; quantum_precision_measurement; adjacent_rydberg</x:v>
      </x:c>
      <x:c r="R57" s="15" t="str">
        <x:v>no</x:v>
      </x:c>
      <x:c r="S57" s="15" t="str">
        <x:v>yes</x:v>
      </x:c>
      <x:c r="T57" s="15" t="str">
        <x:v>https://en.baqis.ac.cn/people/detail/?cid=1291</x:v>
      </x:c>
      <x:c r="U57" s="15" t="str">
        <x:v>https://en.baqis.ac.cn/people/detail/?cid=1291</x:v>
      </x:c>
      <x:c r="V57" s="15" t="str">
        <x:v>Promoted cautiously in v1.0 as C/adjacent. Affiliation is clear, but direct optical-tweezer Rydberg-array role is not yet strong enough for B/A.</x:v>
      </x:c>
    </x:row>
    <x:row r="58">
      <x:c r="A58" s="15" t="str">
        <x:v>E-057</x:v>
      </x:c>
      <x:c r="B58" s="15" t="str">
        <x:v>Bakr Laboratory for Ultracold Quantum Gases</x:v>
      </x:c>
      <x:c r="C58" s="15" t="str">
        <x:v>academic</x:v>
      </x:c>
      <x:c r="D58" s="15" t="str">
        <x:v>B</x:v>
      </x:c>
      <x:c r="E58" s="15" t="str">
        <x:v>verified</x:v>
      </x:c>
      <x:c r="F58" s="15" t="n">
        <x:v>4</x:v>
      </x:c>
      <x:c r="G58" s="15" t="str">
        <x:v>Waseem S. Bakr</x:v>
      </x:c>
      <x:c r="H58" s="15" t="str">
        <x:v>Princeton University</x:v>
      </x:c>
      <x:c r="I58" s="15" t="str">
        <x:v>Princeton</x:v>
      </x:c>
      <x:c r="J58" s="15" t="str">
        <x:v>NJ</x:v>
      </x:c>
      <x:c r="K58" s="15" t="str">
        <x:v>United States</x:v>
      </x:c>
      <x:c r="L58" s="15" t="n">
        <x:v>40.3431</x:v>
      </x:c>
      <x:c r="M58" s="15" t="n">
        <x:v>-74.6551</x:v>
      </x:c>
      <x:c r="N58" s="15" t="str">
        <x:v>Relevant B</x:v>
      </x:c>
      <x:c r="O58" s="15" t="str">
        <x:v>optical_tweezers; rydberg_array; cryogenic; Cs; ultracold_gases; molecules</x:v>
      </x:c>
      <x:c r="P58" s="15" t="str">
        <x:v>Cs; molecules; Rb?</x:v>
      </x:c>
      <x:c r="Q58" s="15" t="str">
        <x:v>cryogenic_rydberg; coherent_ground_rydberg_control; many_body_physics; metrology</x:v>
      </x:c>
      <x:c r="R58" s="15" t="str">
        <x:v>experimental</x:v>
      </x:c>
      <x:c r="S58" s="15" t="str">
        <x:v>mixed</x:v>
      </x:c>
      <x:c r="T58" s="15" t="str">
        <x:v>https://phy.princeton.edu/people/waseem-bakr</x:v>
      </x:c>
      <x:c r="U58" s="15" t="str">
        <x:v>https://phy.princeton.edu/people/waseem-bakr</x:v>
      </x:c>
      <x:c r="V58" s="15" t="str">
        <x:v>Promoted in v1.0. Official Princeton profile lists Rydberg atoms among interests; 2026 arXiv reports Cs optical tweezer array in cryogenic environment with ground-Rydberg manipulation.</x:v>
      </x:c>
    </x:row>
    <x:row r="59">
      <x:c r="A59" s="15" t="str">
        <x:v>E-058</x:v>
      </x:c>
      <x:c r="B59" s="15" t="str">
        <x:v>Lin Li Rydberg atom array group</x:v>
      </x:c>
      <x:c r="C59" s="15" t="str">
        <x:v>academic</x:v>
      </x:c>
      <x:c r="D59" s="15" t="str">
        <x:v>A</x:v>
      </x:c>
      <x:c r="E59" s="15" t="str">
        <x:v>verified</x:v>
      </x:c>
      <x:c r="F59" s="15" t="n">
        <x:v>5</x:v>
      </x:c>
      <x:c r="G59" s="15" t="str">
        <x:v>Lin Li</x:v>
      </x:c>
      <x:c r="H59" s="15" t="str">
        <x:v>Huazhong University of Science and Technology</x:v>
      </x:c>
      <x:c r="I59" s="15" t="str">
        <x:v>Wuhan</x:v>
      </x:c>
      <x:c r="J59" s="15" t="str">
        <x:v>Hubei</x:v>
      </x:c>
      <x:c r="K59" s="15" t="str">
        <x:v>China</x:v>
      </x:c>
      <x:c r="L59" s="15" t="n">
        <x:v>30.5928</x:v>
      </x:c>
      <x:c r="M59" s="15" t="n">
        <x:v>114.3055</x:v>
      </x:c>
      <x:c r="N59" s="15" t="str">
        <x:v>Core A</x:v>
      </x:c>
      <x:c r="O59" s="15" t="str">
        <x:v>rydberg_array; optical_tweezers; quantum_information_scrambling; quantum_simulation; metrology; microwave_electrometry</x:v>
      </x:c>
      <x:c r="P59" s="15" t="str">
        <x:v>Rb?; unknown</x:v>
      </x:c>
      <x:c r="Q59" s="15" t="str">
        <x:v>many_body_dynamics; OTOC; quantum_information_scrambling; microwave_electrometry; Rydberg blockade</x:v>
      </x:c>
      <x:c r="R59" s="15" t="str">
        <x:v>experimental</x:v>
      </x:c>
      <x:c r="S59" s="15" t="str">
        <x:v>mixed</x:v>
      </x:c>
      <x:c r="T59" s="15" t="str">
        <x:v>https://www.linlilab.cn/</x:v>
      </x:c>
      <x:c r="U59" s="15" t="str">
        <x:v>https://www.linlilab.cn/</x:v>
      </x:c>
      <x:c r="V59" s="15" t="str">
        <x:v>Promoted in v1.0 as A core: official lab page says it focuses on Rydberg atoms; recent arXiv/work reports strongly interacting Rydberg atom arrays and tweezer-array electrometry.</x:v>
      </x:c>
    </x:row>
    <x:row r="60">
      <x:c r="A60" s="15" t="str">
        <x:v>E-059</x:v>
      </x:c>
      <x:c r="B60" s="15" t="str">
        <x:v>Li You / NUS-CQT atomic tweezer Rydberg-array program</x:v>
      </x:c>
      <x:c r="C60" s="15" t="str">
        <x:v>academic</x:v>
      </x:c>
      <x:c r="D60" s="15" t="str">
        <x:v>B</x:v>
      </x:c>
      <x:c r="E60" s="15" t="str">
        <x:v>needs_review</x:v>
      </x:c>
      <x:c r="F60" s="15" t="n">
        <x:v>4</x:v>
      </x:c>
      <x:c r="G60" s="15" t="str">
        <x:v>Li You; Meng Khoon Tey; collaborators</x:v>
      </x:c>
      <x:c r="H60" s="15" t="str">
        <x:v>National University of Singapore / Centre for Quantum Technologies</x:v>
      </x:c>
      <x:c r="I60" s="15" t="str">
        <x:v>Singapore</x:v>
      </x:c>
      <x:c r="J60" s="15"/>
      <x:c r="K60" s="15" t="str">
        <x:v>Singapore</x:v>
      </x:c>
      <x:c r="L60" s="15" t="n">
        <x:v>1.3521</x:v>
      </x:c>
      <x:c r="M60" s="15" t="n">
        <x:v>103.8198</x:v>
      </x:c>
      <x:c r="N60" s="15" t="str">
        <x:v>Relevant B</x:v>
      </x:c>
      <x:c r="O60" s="15" t="str">
        <x:v>optical_tweezers; rydberg_array; atomic_tweezer_array; quantum_scrambling; quantum_simulation</x:v>
      </x:c>
      <x:c r="P60" s="15" t="str">
        <x:v>Rb</x:v>
      </x:c>
      <x:c r="Q60" s="15" t="str">
        <x:v>many_body_scars; OTOC; anomalous_information_scrambling; Rydberg_blockade</x:v>
      </x:c>
      <x:c r="R60" s="15" t="str">
        <x:v>experimental</x:v>
      </x:c>
      <x:c r="S60" s="15" t="str">
        <x:v>mixed</x:v>
      </x:c>
      <x:c r="T60" s="15" t="str">
        <x:v>https://www.cqt.sg/highlight/2023-03-tweezers-atom-array/</x:v>
      </x:c>
      <x:c r="U60" s="15" t="str">
        <x:v>https://arxiv.org/abs/2410.16174</x:v>
      </x:c>
      <x:c r="V60" s="15" t="str">
        <x:v>Promoted in v1.0 as a B experimental candidate. Paper explicitly uses atomic tweezer array and Rydberg blockade; institutional lab mapping still needs cleaner official PI/lab page.</x:v>
      </x:c>
    </x:row>
    <x:row r="61">
      <x:c r="A61" s="14" t="str">
        <x:v>E-060</x:v>
      </x:c>
      <x:c r="B61" s="14" t="str">
        <x:v>Yelin quantum-optics theory and global-control Rydberg-array node</x:v>
      </x:c>
      <x:c r="C61" s="14" t="str">
        <x:v>theory_group</x:v>
      </x:c>
      <x:c r="D61" s="14" t="str">
        <x:v>B</x:v>
      </x:c>
      <x:c r="E61" s="14" t="str">
        <x:v>verified</x:v>
      </x:c>
      <x:c r="F61" s="14" t="n">
        <x:v>4</x:v>
      </x:c>
      <x:c r="G61" s="14" t="str">
        <x:v>Susanne F. Yelin</x:v>
      </x:c>
      <x:c r="H61" s="14" t="str">
        <x:v>Harvard University</x:v>
      </x:c>
      <x:c r="I61" s="14" t="str">
        <x:v>Cambridge</x:v>
      </x:c>
      <x:c r="J61" s="14" t="str">
        <x:v>MA</x:v>
      </x:c>
      <x:c r="K61" s="14" t="str">
        <x:v>United States</x:v>
      </x:c>
      <x:c r="L61" s="14" t="n">
        <x:v>42.3736</x:v>
      </x:c>
      <x:c r="M61" s="14" t="n">
        <x:v>-71.1097</x:v>
      </x:c>
      <x:c r="N61" s="14" t="str">
        <x:v>Relevant B</x:v>
      </x:c>
      <x:c r="O61" s="14" t="str">
        <x:v>rydberg_array; analog_quantum_simulation; global_control; quantum_optimal_control; theory; experimental_collaboration</x:v>
      </x:c>
      <x:c r="P61" s="14" t="str">
        <x:v>generic</x:v>
      </x:c>
      <x:c r="Q61" s="14" t="str">
        <x:v>global_control; quantum_optimal_control; multi_body_interactions; topological_dynamics; simulation_theory</x:v>
      </x:c>
      <x:c r="R61" s="14" t="str">
        <x:v>no</x:v>
      </x:c>
      <x:c r="S61" s="14" t="str">
        <x:v>yes</x:v>
      </x:c>
      <x:c r="T61" s="14" t="str">
        <x:v>https://www.physics.harvard.edu/people/facpages/yelin</x:v>
      </x:c>
      <x:c r="U61" s="14" t="str">
        <x:v>https://arxiv.org/abs/2508.19075</x:v>
      </x:c>
      <x:c r="V61" s="14" t="str">
        <x:v>Promoted in v1.3 from Affiliation_Cleanup_v1_2. The arXiv paper has Yelin as last author and reports direct quantum optimal control plus an experimental Rydberg-array demonstration; official Harvard page verifies the node as theoretical quantum optics/QIS.</x:v>
      </x:c>
    </x:row>
    <x:row r="62">
      <x:c r="A62" s="14" t="str">
        <x:v>E-061</x:v>
      </x:c>
      <x:c r="B62" s="14" t="str">
        <x:v>LENS Florence Sr Rydberg Lab</x:v>
      </x:c>
      <x:c r="C62" s="14" t="str">
        <x:v>academic</x:v>
      </x:c>
      <x:c r="D62" s="14" t="str">
        <x:v>B</x:v>
      </x:c>
      <x:c r="E62" s="14" t="str">
        <x:v>verified</x:v>
      </x:c>
      <x:c r="F62" s="14" t="n">
        <x:v>4</x:v>
      </x:c>
      <x:c r="G62" s="14" t="str">
        <x:v>Leonardo Fallani; Vladislav Gavryusev; Jacopo Catani; Massimo Inguscio</x:v>
      </x:c>
      <x:c r="H62" s="14" t="str">
        <x:v>University of Florence / CNR-INO / LENS</x:v>
      </x:c>
      <x:c r="I62" s="14" t="str">
        <x:v>Florence</x:v>
      </x:c>
      <x:c r="J62" s="14" t="str">
        <x:v>Tuscany</x:v>
      </x:c>
      <x:c r="K62" s="14" t="str">
        <x:v>Italy</x:v>
      </x:c>
      <x:c r="L62" s="14" t="n">
        <x:v>43.7696</x:v>
      </x:c>
      <x:c r="M62" s="14" t="n">
        <x:v>11.2558</x:v>
      </x:c>
      <x:c r="N62" s="14" t="str">
        <x:v>Relevant B</x:v>
      </x:c>
      <x:c r="O62" s="14" t="str">
        <x:v>rydberg_array; optical_tweezers; alkaline_earth; Sr; quantum_simulation; neutral_atom_qc; platform_buildout</x:v>
      </x:c>
      <x:c r="P62" s="14" t="str">
        <x:v>Sr</x:v>
      </x:c>
      <x:c r="Q62" s="14" t="str">
        <x:v>quantum_simulation; platform_buildout; future_rydberg_interactions; optical_tweezer_arrays</x:v>
      </x:c>
      <x:c r="R62" s="14" t="str">
        <x:v>experimental</x:v>
      </x:c>
      <x:c r="S62" s="14" t="str">
        <x:v>mixed</x:v>
      </x:c>
      <x:c r="T62" s="14" t="str">
        <x:v>https://quantumgases.lens.unifi.it/exp/sr-rydberg</x:v>
      </x:c>
      <x:c r="U62" s="14" t="str">
        <x:v>https://quantumgases.lens.unifi.it/exp/sr-rydberg</x:v>
      </x:c>
      <x:c r="V62" s="14" t="str">
        <x:v>Promoted in v1.3. Official LENS page says the lab is building a strontium Rydberg platform based on programmable optical-tweezer arrays and lists Fallani as scientific staff/contact.</x:v>
      </x:c>
    </x:row>
    <x:row r="63">
      <x:c r="A63" s="14" t="str">
        <x:v>E-062</x:v>
      </x:c>
      <x:c r="B63" s="14" t="str">
        <x:v>Peng Xu / CAS-Wuhan Rydberg excitation hardware node</x:v>
      </x:c>
      <x:c r="C63" s="14" t="str">
        <x:v>academic</x:v>
      </x:c>
      <x:c r="D63" s="14" t="str">
        <x:v>B</x:v>
      </x:c>
      <x:c r="E63" s="14" t="str">
        <x:v>verified</x:v>
      </x:c>
      <x:c r="F63" s="14" t="n">
        <x:v>4</x:v>
      </x:c>
      <x:c r="G63" s="14" t="str">
        <x:v>Peng Xu</x:v>
      </x:c>
      <x:c r="H63" s="14" t="str">
        <x:v>Innovation Academy for Precision Measurement Science and Technology, CAS / Wuhan Institute of Quantum Technology</x:v>
      </x:c>
      <x:c r="I63" s="14" t="str">
        <x:v>Wuhan</x:v>
      </x:c>
      <x:c r="J63" s="14" t="str">
        <x:v>Hubei</x:v>
      </x:c>
      <x:c r="K63" s="14" t="str">
        <x:v>China</x:v>
      </x:c>
      <x:c r="L63" s="14" t="n">
        <x:v>30.5928</x:v>
      </x:c>
      <x:c r="M63" s="14" t="n">
        <x:v>114.3055</x:v>
      </x:c>
      <x:c r="N63" s="14" t="str">
        <x:v>Relevant B</x:v>
      </x:c>
      <x:c r="O63" s="14" t="str">
        <x:v>rydberg_array; optical_tweezers; Rb; rydberg_excitation; pulsed_fiber_amplifier; technical_hardware</x:v>
      </x:c>
      <x:c r="P63" s="14" t="str">
        <x:v>Rb</x:v>
      </x:c>
      <x:c r="Q63" s="14" t="str">
        <x:v>coherent_rydberg_excitation; pulsed_amplifier; hardware_scaling; high_power_excitation</x:v>
      </x:c>
      <x:c r="R63" s="14" t="str">
        <x:v>experimental</x:v>
      </x:c>
      <x:c r="S63" s="14" t="str">
        <x:v>mixed</x:v>
      </x:c>
      <x:c r="T63" s="14" t="str">
        <x:v>https://arxiv.org/abs/2604.13436</x:v>
      </x:c>
      <x:c r="U63" s="14" t="str">
        <x:v>https://arxiv.org/html/2604.13436v1</x:v>
      </x:c>
      <x:c r="V63" s="14" t="str">
        <x:v>Promoted in v1.3. The 2026 arXiv HTML lists Peng Xu at CAS/Wuhan Institute of Quantum Technology and demonstrates coherent Rydberg excitation of single atoms in a rubidium optical-tweezer array.</x:v>
      </x:c>
    </x:row>
    <x:row r="64">
      <x:c r="A64" s="14" t="str">
        <x:v>E-063</x:v>
      </x:c>
      <x:c r="B64" s="14" t="str">
        <x:v>Lerose quantum-simulation theory node</x:v>
      </x:c>
      <x:c r="C64" s="14" t="str">
        <x:v>theory_group</x:v>
      </x:c>
      <x:c r="D64" s="14" t="str">
        <x:v>B</x:v>
      </x:c>
      <x:c r="E64" s="14" t="str">
        <x:v>verified</x:v>
      </x:c>
      <x:c r="F64" s="14" t="n">
        <x:v>4</x:v>
      </x:c>
      <x:c r="G64" s="14" t="str">
        <x:v>Alessio Lerose</x:v>
      </x:c>
      <x:c r="H64" s="14" t="str">
        <x:v>KU Leuven</x:v>
      </x:c>
      <x:c r="I64" s="14" t="str">
        <x:v>Leuven</x:v>
      </x:c>
      <x:c r="J64" s="14" t="str">
        <x:v>Flemish Brabant</x:v>
      </x:c>
      <x:c r="K64" s="14" t="str">
        <x:v>Belgium</x:v>
      </x:c>
      <x:c r="L64" s="14" t="n">
        <x:v>50.8798</x:v>
      </x:c>
      <x:c r="M64" s="14" t="n">
        <x:v>4.7005</x:v>
      </x:c>
      <x:c r="N64" s="14" t="str">
        <x:v>Relevant B</x:v>
      </x:c>
      <x:c r="O64" s="14" t="str">
        <x:v>rydberg_array; quantum_simulation; theory; lattice_gauge; high_energy_physics; long_range_spins; neutral_atom_architecture</x:v>
      </x:c>
      <x:c r="P64" s="14" t="str">
        <x:v>generic</x:v>
      </x:c>
      <x:c r="Q64" s="14" t="str">
        <x:v>lattice_gauge_simulation; Schwinger_model; quantum_simulation_design; theory_application</x:v>
      </x:c>
      <x:c r="R64" s="14" t="str">
        <x:v>no</x:v>
      </x:c>
      <x:c r="S64" s="14" t="str">
        <x:v>yes</x:v>
      </x:c>
      <x:c r="T64" s="14" t="str">
        <x:v>https://www.kuleuven.be/wieiswie/en/person/00172999</x:v>
      </x:c>
      <x:c r="U64" s="14" t="str">
        <x:v>https://www.kuleuven.be/wieiswie/en/person/00172999</x:v>
      </x:c>
      <x:c r="V64" s="14" t="str">
        <x:v>Promoted in v1.3. Official KU Leuven profile verifies Lerose as research professor in quantum many-body dynamics and quantum simulation; 2024 paper proposes implementation using a state-of-the-art dual-species Rydberg atom array.</x:v>
      </x:c>
    </x:row>
    <x:row r="65">
      <x:c r="A65" s="14" t="str">
        <x:v>E-064</x:v>
      </x:c>
      <x:c r="B65" s="14" t="str">
        <x:v>Wei Zhang / Renmin-BAQIS compact Rb tweezer platform</x:v>
      </x:c>
      <x:c r="C65" s="14" t="str">
        <x:v>academic</x:v>
      </x:c>
      <x:c r="D65" s="14" t="str">
        <x:v>C</x:v>
      </x:c>
      <x:c r="E65" s="14" t="str">
        <x:v>needs_review</x:v>
      </x:c>
      <x:c r="F65" s="14" t="n">
        <x:v>3</x:v>
      </x:c>
      <x:c r="G65" s="14" t="str">
        <x:v>Wei Zhang</x:v>
      </x:c>
      <x:c r="H65" s="14" t="str">
        <x:v>Renmin University of China / BAQIS</x:v>
      </x:c>
      <x:c r="I65" s="14" t="str">
        <x:v>Beijing</x:v>
      </x:c>
      <x:c r="J65" s="14" t="str">
        <x:v>Beijing</x:v>
      </x:c>
      <x:c r="K65" s="14" t="str">
        <x:v>China</x:v>
      </x:c>
      <x:c r="L65" s="14" t="n">
        <x:v>39.9042</x:v>
      </x:c>
      <x:c r="M65" s="14" t="n">
        <x:v>116.4074</x:v>
      </x:c>
      <x:c r="N65" s="14" t="str">
        <x:v>Adjacent C</x:v>
      </x:c>
      <x:c r="O65" s="14" t="str">
        <x:v>optical_tweezers; Rb; neutral_atom_platform; compact_setup; hardware; adjacent</x:v>
      </x:c>
      <x:c r="P65" s="14" t="str">
        <x:v>Rb</x:v>
      </x:c>
      <x:c r="Q65" s="14" t="str">
        <x:v>platform_enabler; optical_tweezer_array; adjacent_to_rydberg_array_work</x:v>
      </x:c>
      <x:c r="R65" s="14" t="str">
        <x:v>experimental</x:v>
      </x:c>
      <x:c r="S65" s="14" t="str">
        <x:v>no</x:v>
      </x:c>
      <x:c r="T65" s="14" t="str">
        <x:v>https://arxiv.org/abs/2604.12204</x:v>
      </x:c>
      <x:c r="U65" s="14" t="str">
        <x:v>https://arxiv.org/abs/2604.12204</x:v>
      </x:c>
      <x:c r="V65" s="14" t="str">
        <x:v>Promoted cautiously in v1.3 as C/adjacent. The 2026 paper demonstrates a compact 25x25 homogeneous 87Rb optical tweezer array, but the cited source does not yet show a Rydberg-core result.</x:v>
      </x:c>
    </x:row>
    <x:row r="66">
      <x:c r="A66" s="14" t="str">
        <x:v>E-065</x:v>
      </x:c>
      <x:c r="B66" s="14" t="str">
        <x:v>Chepiga Rydberg-array quantum-criticality theory node</x:v>
      </x:c>
      <x:c r="C66" s="14" t="str">
        <x:v>theory_group</x:v>
      </x:c>
      <x:c r="D66" s="14" t="str">
        <x:v>B</x:v>
      </x:c>
      <x:c r="E66" s="14" t="str">
        <x:v>verified</x:v>
      </x:c>
      <x:c r="F66" s="14" t="n">
        <x:v>4</x:v>
      </x:c>
      <x:c r="G66" s="14" t="str">
        <x:v>Natalia Chepiga</x:v>
      </x:c>
      <x:c r="H66" s="14" t="str">
        <x:v>Delft University of Technology</x:v>
      </x:c>
      <x:c r="I66" s="14" t="str">
        <x:v>Delft</x:v>
      </x:c>
      <x:c r="J66" s="14"/>
      <x:c r="K66" s="14" t="str">
        <x:v>Netherlands</x:v>
      </x:c>
      <x:c r="L66" s="14" t="n">
        <x:v>52.0116</x:v>
      </x:c>
      <x:c r="M66" s="14" t="n">
        <x:v>4.3571</x:v>
      </x:c>
      <x:c r="N66" s="14" t="str">
        <x:v>Relevant B</x:v>
      </x:c>
      <x:c r="O66" s="14" t="str">
        <x:v>rydberg_array; quantum_criticality; tensor_networks; multispecies; theory; quantum_simulation</x:v>
      </x:c>
      <x:c r="P66" s="14" t="str">
        <x:v>generic; Rb/Cs theoretical</x:v>
      </x:c>
      <x:c r="Q66" s="14" t="str">
        <x:v>criticality; many_body_scars; multispecies_arrays; quantum_simulation_theory</x:v>
      </x:c>
      <x:c r="R66" s="14" t="str">
        <x:v>no</x:v>
      </x:c>
      <x:c r="S66" s="14" t="str">
        <x:v>yes</x:v>
      </x:c>
      <x:c r="T66" s="14" t="str">
        <x:v>https://nchepiga.github.io/homepage/</x:v>
      </x:c>
      <x:c r="U66" s="14" t="str">
        <x:v>https://link.aps.org/doi/10.1103/PhysRevLett.132.076505</x:v>
      </x:c>
      <x:c r="V66" s="14" t="str">
        <x:v>Promoted in v1.5. Strong theory node for Rydberg arrays, with explicit PRL and 2026 arXiv activity; TU Delft affiliation confirmed by CV/PRL metadata.</x:v>
      </x:c>
    </x:row>
    <x:row r="67">
      <x:c r="A67" s="14" t="str">
        <x:v>E-066</x:v>
      </x:c>
      <x:c r="B67" s="14" t="str">
        <x:v>Mathey theory of atoms and solids Rydberg-tweezer node</x:v>
      </x:c>
      <x:c r="C67" s="14" t="str">
        <x:v>theory_group</x:v>
      </x:c>
      <x:c r="D67" s="14" t="str">
        <x:v>B</x:v>
      </x:c>
      <x:c r="E67" s="14" t="str">
        <x:v>verified</x:v>
      </x:c>
      <x:c r="F67" s="14" t="n">
        <x:v>4</x:v>
      </x:c>
      <x:c r="G67" s="14" t="str">
        <x:v>Ludwig Mathey</x:v>
      </x:c>
      <x:c r="H67" s="14" t="str">
        <x:v>University of Hamburg</x:v>
      </x:c>
      <x:c r="I67" s="14" t="str">
        <x:v>Hamburg</x:v>
      </x:c>
      <x:c r="J67" s="14"/>
      <x:c r="K67" s="14" t="str">
        <x:v>Germany</x:v>
      </x:c>
      <x:c r="L67" s="14" t="n">
        <x:v>53.5511</x:v>
      </x:c>
      <x:c r="M67" s="14" t="n">
        <x:v>9.9937</x:v>
      </x:c>
      <x:c r="N67" s="14" t="str">
        <x:v>Relevant B</x:v>
      </x:c>
      <x:c r="O67" s="14" t="str">
        <x:v>rydberg_array; optical_tweezers; lamb_dicke; motional_dynamics; theory; quantum_gates</x:v>
      </x:c>
      <x:c r="P67" s="14" t="str">
        <x:v>generic</x:v>
      </x:c>
      <x:c r="Q67" s="14" t="str">
        <x:v>spin_motion; lamb_dicke_dynamics; rydberg_gates; quantum_simulation_theory</x:v>
      </x:c>
      <x:c r="R67" s="14" t="str">
        <x:v>no</x:v>
      </x:c>
      <x:c r="S67" s="14" t="str">
        <x:v>yes</x:v>
      </x:c>
      <x:c r="T67" s="14" t="str">
        <x:v>https://www.physik.uni-hamburg.de/en/iqp/mathey.html</x:v>
      </x:c>
      <x:c r="U67" s="14" t="str">
        <x:v>https://arxiv.org/abs/2506.22669</x:v>
      </x:c>
      <x:c r="V67" s="14" t="str">
        <x:v>Promoted in v1.5 as a direct theory node because the 2025 paper explicitly treats interacting Rydberg atoms in optical-tweezer arrays and official page confirms Hamburg affiliation.</x:v>
      </x:c>
    </x:row>
    <x:row r="68">
      <x:c r="A68" s="14" t="str">
        <x:v>E-067</x:v>
      </x:c>
      <x:c r="B68" s="14" t="str">
        <x:v>Qi-Yu Liang quantum-level light-matter interactions lab</x:v>
      </x:c>
      <x:c r="C68" s="14" t="str">
        <x:v>academic</x:v>
      </x:c>
      <x:c r="D68" s="14" t="str">
        <x:v>B</x:v>
      </x:c>
      <x:c r="E68" s="14" t="str">
        <x:v>needs_review</x:v>
      </x:c>
      <x:c r="F68" s="14" t="n">
        <x:v>4</x:v>
      </x:c>
      <x:c r="G68" s="14" t="str">
        <x:v>Qi-Yu (Grace) Liang</x:v>
      </x:c>
      <x:c r="H68" s="14" t="str">
        <x:v>Purdue University</x:v>
      </x:c>
      <x:c r="I68" s="14" t="str">
        <x:v>West Lafayette</x:v>
      </x:c>
      <x:c r="J68" s="14" t="str">
        <x:v>IN</x:v>
      </x:c>
      <x:c r="K68" s="14" t="str">
        <x:v>United States</x:v>
      </x:c>
      <x:c r="L68" s="14" t="n">
        <x:v>40.4237</x:v>
      </x:c>
      <x:c r="M68" s="14" t="n">
        <x:v>-86.9212</x:v>
      </x:c>
      <x:c r="N68" s="14" t="str">
        <x:v>Relevant B</x:v>
      </x:c>
      <x:c r="O68" s="14" t="str">
        <x:v>rydberg_arrays; optical_tweezers; ultrafast_rydberg; quantum_optics; facilitation; experimental</x:v>
      </x:c>
      <x:c r="P68" s="14" t="str">
        <x:v>Rb?; unknown</x:v>
      </x:c>
      <x:c r="Q68" s="14" t="str">
        <x:v>ultrafast_rydberg; robust_facilitation; quantum_dynamics; array_experiments</x:v>
      </x:c>
      <x:c r="R68" s="14" t="str">
        <x:v>experimental</x:v>
      </x:c>
      <x:c r="S68" s="14" t="str">
        <x:v>mixed</x:v>
      </x:c>
      <x:c r="T68" s="14" t="str">
        <x:v>https://sites.google.com/view/qiyuliang</x:v>
      </x:c>
      <x:c r="U68" s="14" t="str">
        <x:v>https://link.aps.org/doi/10.1103/23x7-g2h6</x:v>
      </x:c>
      <x:c r="V68" s="14" t="str">
        <x:v>Promoted cautiously in v1.5. Purdue official directory confirms PI/affiliation; recent PRL/AIP result is explicitly Rydberg facilitation and references compatibility with existing optical-tweezer platforms, but the lab's own tweezer-array hardware still needs confirmation.</x:v>
      </x:c>
    </x:row>
    <x:row r="69">
      <x:c r="A69" s="14" t="str">
        <x:v>E-068</x:v>
      </x:c>
      <x:c r="B69" s="14" t="str">
        <x:v>Jing Qian Rydberg-dressed atom-array theory node</x:v>
      </x:c>
      <x:c r="C69" s="14" t="str">
        <x:v>theory_group</x:v>
      </x:c>
      <x:c r="D69" s="14" t="str">
        <x:v>B</x:v>
      </x:c>
      <x:c r="E69" s="14" t="str">
        <x:v>verified</x:v>
      </x:c>
      <x:c r="F69" s="14" t="n">
        <x:v>4</x:v>
      </x:c>
      <x:c r="G69" s="14" t="str">
        <x:v>Jing Qian</x:v>
      </x:c>
      <x:c r="H69" s="14" t="str">
        <x:v>East China Normal University</x:v>
      </x:c>
      <x:c r="I69" s="14" t="str">
        <x:v>Shanghai / Chongqing</x:v>
      </x:c>
      <x:c r="J69" s="14"/>
      <x:c r="K69" s="14" t="str">
        <x:v>China</x:v>
      </x:c>
      <x:c r="L69" s="14" t="n">
        <x:v>31.2304</x:v>
      </x:c>
      <x:c r="M69" s="14" t="n">
        <x:v>121.4737</x:v>
      </x:c>
      <x:c r="N69" s="14" t="str">
        <x:v>Relevant B</x:v>
      </x:c>
      <x:c r="O69" s="14" t="str">
        <x:v>rydberg_dressed_arrays; optimal_control; excitation_transport; theory; quantum_simulation</x:v>
      </x:c>
      <x:c r="P69" s="14" t="str">
        <x:v>generic</x:v>
      </x:c>
      <x:c r="Q69" s="14" t="str">
        <x:v>rydberg_dressed_transport; optimal_control; spin_exchange; many_body_dynamics</x:v>
      </x:c>
      <x:c r="R69" s="14" t="str">
        <x:v>no</x:v>
      </x:c>
      <x:c r="S69" s="14" t="str">
        <x:v>yes</x:v>
      </x:c>
      <x:c r="T69" s="14" t="str">
        <x:v>https://link.springer.com/article/10.1007/s44214-025-00078-4</x:v>
      </x:c>
      <x:c r="U69" s="14" t="str">
        <x:v>https://arxiv.org/abs/2503.07672</x:v>
      </x:c>
      <x:c r="V69" s="14" t="str">
        <x:v>Promoted in v1.5 as a theory node. 2025 paper is directly about Rydberg-dressed atom arrays; publisher page lists Jing Qian at ECNU/Chongqing Institute of ECNU.</x:v>
      </x:c>
    </x:row>
    <x:row r="70">
      <x:c r="A70" s="14" t="str">
        <x:v>E-069</x:v>
      </x:c>
      <x:c r="B70" s="14" t="str">
        <x:v>KAT-1 / Dutch Sr Rydberg optical-tweezer QPU ecosystem</x:v>
      </x:c>
      <x:c r="C70" s="14" t="str">
        <x:v>academic</x:v>
      </x:c>
      <x:c r="D70" s="14" t="str">
        <x:v>B</x:v>
      </x:c>
      <x:c r="E70" s="14" t="str">
        <x:v>verified</x:v>
      </x:c>
      <x:c r="F70" s="14" t="n">
        <x:v>4</x:v>
      </x:c>
      <x:c r="G70" s="14" t="str">
        <x:v>Florian Schreck; Robert J. C. Spreeuw; Eindhoven/Amsterdam collaborators</x:v>
      </x:c>
      <x:c r="H70" s="14" t="str">
        <x:v>Eindhoven University of Technology / University of Amsterdam / QuantumDelta NL</x:v>
      </x:c>
      <x:c r="I70" s="14" t="str">
        <x:v>Eindhoven / Amsterdam</x:v>
      </x:c>
      <x:c r="J70" s="14"/>
      <x:c r="K70" s="14" t="str">
        <x:v>Netherlands</x:v>
      </x:c>
      <x:c r="L70" s="14" t="n">
        <x:v>51.4416</x:v>
      </x:c>
      <x:c r="M70" s="14" t="n">
        <x:v>5.4697</x:v>
      </x:c>
      <x:c r="N70" s="14" t="str">
        <x:v>Relevant B</x:v>
      </x:c>
      <x:c r="O70" s="14" t="str">
        <x:v>strontium; optical_tweezers; rydberg_array; quantum_processor; quantum_inspire; fractal_geometry</x:v>
      </x:c>
      <x:c r="P70" s="14" t="str">
        <x:v>Sr</x:v>
      </x:c>
      <x:c r="Q70" s="14" t="str">
        <x:v>rydberg_QPU; quantum_simulation; fractal_arrays; spin_models; platform_buildout</x:v>
      </x:c>
      <x:c r="R70" s="14" t="str">
        <x:v>mixed</x:v>
      </x:c>
      <x:c r="S70" s="14" t="str">
        <x:v>mixed</x:v>
      </x:c>
      <x:c r="T70" s="14" t="str">
        <x:v>https://research.tue.nl/en/activities/neutral-atoms-in-tweezer-arrays-for-hybrid-rydberg-quantum-comput/</x:v>
      </x:c>
      <x:c r="U70" s="14" t="str">
        <x:v>https://research.tue.nl/en/activities/neutral-atoms-in-tweezer-arrays-for-hybrid-rydberg-quantum-comput/</x:v>
      </x:c>
      <x:c r="V70" s="14" t="str">
        <x:v>Promoted in v1.5 as a Dutch ecosystem node. TU/e activity page explicitly states a Sr 2D optical-tweezer QPU with Rydberg excitations; 2025 arXiv reports experiments with single 88Sr atoms in optical tweezers arranged in fractal geometry.</x:v>
      </x:c>
    </x:row>
    <x:row r="71">
      <x:c r="A71" s="14" t="str">
        <x:v>E-070</x:v>
      </x:c>
      <x:c r="B71" s="14" t="str">
        <x:v>Circular Rydberg atoms in optical tweezers / LKB-ENS-College de France</x:v>
      </x:c>
      <x:c r="C71" s="14" t="str">
        <x:v>academic</x:v>
      </x:c>
      <x:c r="D71" s="14" t="str">
        <x:v>B</x:v>
      </x:c>
      <x:c r="E71" s="14" t="str">
        <x:v>verified</x:v>
      </x:c>
      <x:c r="F71" s="14" t="n">
        <x:v>4</x:v>
      </x:c>
      <x:c r="G71" s="14" t="str">
        <x:v>Michel Brune; Clément Sayrin; Jean-Michel Raimond; David J. Papoular</x:v>
      </x:c>
      <x:c r="H71" s="14" t="str">
        <x:v>Laboratoire Kastler Brossel / ENS / Collège de France / Sorbonne Université</x:v>
      </x:c>
      <x:c r="I71" s="14" t="str">
        <x:v>Paris</x:v>
      </x:c>
      <x:c r="J71" s="14" t="str">
        <x:v>Île-de-France</x:v>
      </x:c>
      <x:c r="K71" s="14" t="str">
        <x:v>France</x:v>
      </x:c>
      <x:c r="L71" s="14" t="n">
        <x:v>48.8566</x:v>
      </x:c>
      <x:c r="M71" s="14" t="n">
        <x:v>2.3522</x:v>
      </x:c>
      <x:c r="N71" s="14" t="str">
        <x:v>Relevant B</x:v>
      </x:c>
      <x:c r="O71" s="14" t="str">
        <x:v>circular_rydberg; optical_tweezers; dipole_dipole_interactions; spin_motion; quantum_simulation_adjacent</x:v>
      </x:c>
      <x:c r="P71" s="14" t="str">
        <x:v>Rb?; circular Rydberg atoms</x:v>
      </x:c>
      <x:c r="Q71" s="14" t="str">
        <x:v>circular_rydberg_interactions; spin_motion_coupling; long_lived_rydberg_qubits</x:v>
      </x:c>
      <x:c r="R71" s="14" t="str">
        <x:v>experimental</x:v>
      </x:c>
      <x:c r="S71" s="14" t="str">
        <x:v>mixed</x:v>
      </x:c>
      <x:c r="T71" s="14" t="str">
        <x:v>https://arxiv.org/abs/2407.04109</x:v>
      </x:c>
      <x:c r="U71" s="14" t="str">
        <x:v>https://arxiv.org/abs/2407.04109</x:v>
      </x:c>
      <x:c r="V71" s="14" t="str">
        <x:v>Promoted in v1.5 as a relevant circular-Rydberg tweezer node. It is not a standard ground-state neutral-atom array processor, but it is directly Rydberg + optical tweezers + interacting atoms.</x:v>
      </x:c>
    </x:row>
    <x:row r="72">
      <x:c r="A72" s="14" t="str">
        <x:v>E-071</x:v>
      </x:c>
      <x:c r="B72" s="14" t="str">
        <x:v>Pollet Rydberg-tweezer supersolidity theory node</x:v>
      </x:c>
      <x:c r="C72" s="14" t="str">
        <x:v>theory_group</x:v>
      </x:c>
      <x:c r="D72" s="14" t="str">
        <x:v>B</x:v>
      </x:c>
      <x:c r="E72" s="14" t="str">
        <x:v>verified</x:v>
      </x:c>
      <x:c r="F72" s="14" t="n">
        <x:v>4</x:v>
      </x:c>
      <x:c r="G72" s="14" t="str">
        <x:v>Lode Pollet</x:v>
      </x:c>
      <x:c r="H72" s="14" t="str">
        <x:v>Ludwig-Maximilians-Universität München (LMU Munich)</x:v>
      </x:c>
      <x:c r="I72" s="14" t="str">
        <x:v>Munich</x:v>
      </x:c>
      <x:c r="J72" s="14" t="str">
        <x:v>Bavaria</x:v>
      </x:c>
      <x:c r="K72" s="14" t="str">
        <x:v>Germany</x:v>
      </x:c>
      <x:c r="L72" s="14" t="n">
        <x:v>48.1351</x:v>
      </x:c>
      <x:c r="M72" s="14" t="n">
        <x:v>11.582</x:v>
      </x:c>
      <x:c r="N72" s="14" t="str">
        <x:v>Relevant B</x:v>
      </x:c>
      <x:c r="O72" s="14" t="str">
        <x:v>rydberg_tweezer_arrays; quantum_simulation; supersolidity; quantum_monte_carlo; theory</x:v>
      </x:c>
      <x:c r="P72" s="14" t="str">
        <x:v>Rb; generic Rydberg</x:v>
      </x:c>
      <x:c r="Q72" s="14" t="str">
        <x:v>analog_simulation; supersolidity; extended_hubbard; theory</x:v>
      </x:c>
      <x:c r="R72" s="14" t="str">
        <x:v>no</x:v>
      </x:c>
      <x:c r="S72" s="14" t="str">
        <x:v>theory</x:v>
      </x:c>
      <x:c r="T72" s="14" t="str">
        <x:v>https://www.theorie.physik.uni-muenchen.de/lsschollwoeck/people/professors/pollet/index.html</x:v>
      </x:c>
      <x:c r="U72" s="14" t="str">
        <x:v>https://arxiv.org/abs/2407.12752</x:v>
      </x:c>
      <x:c r="V72" s="14" t="str">
        <x:v>Promoted in v1.7 from v1.6 paper layer. Strong theory node connected to Browaeys/Geier experimental feasibility context; not an experimental hardware group.</x:v>
      </x:c>
    </x:row>
    <x:row r="73">
      <x:c r="A73" s="14" t="str">
        <x:v>E-072</x:v>
      </x:c>
      <x:c r="B73" s="14" t="str">
        <x:v>Scarola Rydberg-array analogue simulation theory node</x:v>
      </x:c>
      <x:c r="C73" s="14" t="str">
        <x:v>theory_group</x:v>
      </x:c>
      <x:c r="D73" s="14" t="str">
        <x:v>B</x:v>
      </x:c>
      <x:c r="E73" s="14" t="str">
        <x:v>verified</x:v>
      </x:c>
      <x:c r="F73" s="14" t="n">
        <x:v>4</x:v>
      </x:c>
      <x:c r="G73" s="14" t="str">
        <x:v>Vito W. Scarola</x:v>
      </x:c>
      <x:c r="H73" s="14" t="str">
        <x:v>Virginia Tech</x:v>
      </x:c>
      <x:c r="I73" s="14" t="str">
        <x:v>Blacksburg</x:v>
      </x:c>
      <x:c r="J73" s="14" t="str">
        <x:v>VA</x:v>
      </x:c>
      <x:c r="K73" s="14" t="str">
        <x:v>United States</x:v>
      </x:c>
      <x:c r="L73" s="14" t="n">
        <x:v>37.2296</x:v>
      </x:c>
      <x:c r="M73" s="14" t="n">
        <x:v>-80.4139</x:v>
      </x:c>
      <x:c r="N73" s="14" t="str">
        <x:v>Relevant B</x:v>
      </x:c>
      <x:c r="O73" s="14" t="str">
        <x:v>rydberg_atom_arrays; optical_tweezers; quantum_simulation; supersymmetry; theory</x:v>
      </x:c>
      <x:c r="P73" s="14" t="str">
        <x:v>generic Rydberg</x:v>
      </x:c>
      <x:c r="Q73" s="14" t="str">
        <x:v>analog_simulation; many_body_theory; supersymmetry; architecture</x:v>
      </x:c>
      <x:c r="R73" s="14" t="str">
        <x:v>no</x:v>
      </x:c>
      <x:c r="S73" s="14" t="str">
        <x:v>theory</x:v>
      </x:c>
      <x:c r="T73" s="14" t="str">
        <x:v>https://scarola.phys.vt.edu/</x:v>
      </x:c>
      <x:c r="U73" s="14" t="str">
        <x:v>https://arxiv.org/abs/2405.21073</x:v>
      </x:c>
      <x:c r="V73" s="14" t="str">
        <x:v>Promoted in v1.7 as a theory/simulation node. The paper is explicitly motivated by Rydberg atoms in optical tweezer arrays.</x:v>
      </x:c>
    </x:row>
    <x:row r="74">
      <x:c r="A74" s="14" t="str">
        <x:v>E-073</x:v>
      </x:c>
      <x:c r="B74" s="14" t="str">
        <x:v>Vutha Rydberg-tweezer dark-matter sensing proposal node</x:v>
      </x:c>
      <x:c r="C74" s="14" t="str">
        <x:v>academic</x:v>
      </x:c>
      <x:c r="D74" s="14" t="str">
        <x:v>C</x:v>
      </x:c>
      <x:c r="E74" s="14" t="str">
        <x:v>verified</x:v>
      </x:c>
      <x:c r="F74" s="14" t="n">
        <x:v>2</x:v>
      </x:c>
      <x:c r="G74" s="14" t="str">
        <x:v>Amar C. Vutha</x:v>
      </x:c>
      <x:c r="H74" s="14" t="str">
        <x:v>University of Toronto</x:v>
      </x:c>
      <x:c r="I74" s="14" t="str">
        <x:v>Toronto</x:v>
      </x:c>
      <x:c r="J74" s="14" t="str">
        <x:v>Ontario</x:v>
      </x:c>
      <x:c r="K74" s="14" t="str">
        <x:v>Canada</x:v>
      </x:c>
      <x:c r="L74" s="14" t="n">
        <x:v>43.6629</x:v>
      </x:c>
      <x:c r="M74" s="14" t="n">
        <x:v>-79.3957</x:v>
      </x:c>
      <x:c r="N74" s="14" t="str">
        <x:v>Adjacent C</x:v>
      </x:c>
      <x:c r="O74" s="14" t="str">
        <x:v>rydberg_tweezer_arrays; sensing; dark_matter; microwave_electrometry_adjacent</x:v>
      </x:c>
      <x:c r="P74" s="14" t="str">
        <x:v>generic Rydberg</x:v>
      </x:c>
      <x:c r="Q74" s="14" t="str">
        <x:v>sensing; dark_matter_detection; adjacent_metrology</x:v>
      </x:c>
      <x:c r="R74" s="14" t="str">
        <x:v>proposal/theory</x:v>
      </x:c>
      <x:c r="S74" s="14" t="str">
        <x:v>mixed</x:v>
      </x:c>
      <x:c r="T74" s="14" t="str">
        <x:v>https://www.physics.utoronto.ca/~vutha/</x:v>
      </x:c>
      <x:c r="U74" s="14" t="str">
        <x:v>https://arxiv.org/abs/2507.12860</x:v>
      </x:c>
      <x:c r="V74" s="14" t="str">
        <x:v>Promoted in v1.7 as adjacent sensing/metrology. Relevant to Rydberg atoms in optical tweezer arrays, but not a neutral-atom QC/simulation platform node.</x:v>
      </x:c>
    </x:row>
    <x:row r="75">
      <x:c r="A75" s="14" t="str">
        <x:v>E-074</x:v>
      </x:c>
      <x:c r="B75" s="14" t="str">
        <x:v>Yunoki computational quantum matter Rydberg-tweezer control node</x:v>
      </x:c>
      <x:c r="C75" s="14" t="str">
        <x:v>theory_group</x:v>
      </x:c>
      <x:c r="D75" s="14" t="str">
        <x:v>B</x:v>
      </x:c>
      <x:c r="E75" s="14" t="str">
        <x:v>verified</x:v>
      </x:c>
      <x:c r="F75" s="14" t="n">
        <x:v>4</x:v>
      </x:c>
      <x:c r="G75" s="14" t="str">
        <x:v>Seiji Yunoki</x:v>
      </x:c>
      <x:c r="H75" s="14" t="str">
        <x:v>RIKEN</x:v>
      </x:c>
      <x:c r="I75" s="14" t="str">
        <x:v>Wako</x:v>
      </x:c>
      <x:c r="J75" s="14" t="str">
        <x:v>Saitama</x:v>
      </x:c>
      <x:c r="K75" s="14" t="str">
        <x:v>Japan</x:v>
      </x:c>
      <x:c r="L75" s="14" t="n">
        <x:v>35.7813</x:v>
      </x:c>
      <x:c r="M75" s="14" t="n">
        <x:v>139.6135</x:v>
      </x:c>
      <x:c r="N75" s="14" t="str">
        <x:v>Relevant B</x:v>
      </x:c>
      <x:c r="O75" s="14" t="str">
        <x:v>rydberg_tweezer_arrays; pulse_optimization; variational_algorithms; many_body_theory</x:v>
      </x:c>
      <x:c r="P75" s="14" t="str">
        <x:v>generic Rydberg</x:v>
      </x:c>
      <x:c r="Q75" s="14" t="str">
        <x:v>control; pulse_optimization; analog_vqe; theory</x:v>
      </x:c>
      <x:c r="R75" s="14" t="str">
        <x:v>no</x:v>
      </x:c>
      <x:c r="S75" s="14" t="str">
        <x:v>theory</x:v>
      </x:c>
      <x:c r="T75" s="14" t="str">
        <x:v>https://cems.riken.jp/laboratory/cqmrt</x:v>
      </x:c>
      <x:c r="U75" s="14" t="str">
        <x:v>https://arxiv.org/abs/2507.19153</x:v>
      </x:c>
      <x:c r="V75" s="14" t="str">
        <x:v>Promoted in v1.7. Useful theory/control node for pulse-level and hybrid analog/digital algorithms on Rydberg tweezer arrays.</x:v>
      </x:c>
    </x:row>
    <x:row r="76">
      <x:c r="A76" s="14" t="str">
        <x:v>E-075</x:v>
      </x:c>
      <x:c r="B76" s="14" t="str">
        <x:v>Hofferberth magic-trapping Rydberg enabling-physics node</x:v>
      </x:c>
      <x:c r="C76" s="14" t="str">
        <x:v>academic</x:v>
      </x:c>
      <x:c r="D76" s="14" t="str">
        <x:v>C</x:v>
      </x:c>
      <x:c r="E76" s="14" t="str">
        <x:v>verified</x:v>
      </x:c>
      <x:c r="F76" s="14" t="n">
        <x:v>3</x:v>
      </x:c>
      <x:c r="G76" s="14" t="str">
        <x:v>Sebastian Hofferberth</x:v>
      </x:c>
      <x:c r="H76" s="14" t="str">
        <x:v>University of Bonn</x:v>
      </x:c>
      <x:c r="I76" s="14" t="str">
        <x:v>Bonn</x:v>
      </x:c>
      <x:c r="J76" s="14" t="str">
        <x:v>North Rhine-Westphalia</x:v>
      </x:c>
      <x:c r="K76" s="14" t="str">
        <x:v>Germany</x:v>
      </x:c>
      <x:c r="L76" s="14" t="n">
        <x:v>50.7374</x:v>
      </x:c>
      <x:c r="M76" s="14" t="n">
        <x:v>7.0982</x:v>
      </x:c>
      <x:c r="N76" s="14" t="str">
        <x:v>Adjacent C</x:v>
      </x:c>
      <x:c r="O76" s="14" t="str">
        <x:v>rydberg_atoms; magic_trapping; optical_tweezers; enabling_physics; theory_experiment</x:v>
      </x:c>
      <x:c r="P76" s="14" t="str">
        <x:v>generic Rydberg</x:v>
      </x:c>
      <x:c r="Q76" s="14" t="str">
        <x:v>magic_trapping; coherence; enabling_physics</x:v>
      </x:c>
      <x:c r="R76" s="14" t="str">
        <x:v>mixed</x:v>
      </x:c>
      <x:c r="S76" s="14" t="str">
        <x:v>mixed</x:v>
      </x:c>
      <x:c r="T76" s="14" t="str">
        <x:v>https://www.iap.uni-bonn.de/nqo/en</x:v>
      </x:c>
      <x:c r="U76" s="14" t="str">
        <x:v>https://arxiv.org/abs/2410.20901</x:v>
      </x:c>
      <x:c r="V76" s="14" t="str">
        <x:v>Promoted in v1.7 as adjacent/enabling physics. Relevant for trapped Rydberg coherence, but not a mainstream tweezer-array processor by itself.</x:v>
      </x:c>
    </x:row>
    <x:row r="77">
      <x:c r="A77" s="14" t="str">
        <x:v>E-076</x:v>
      </x:c>
      <x:c r="B77" s="14" t="str">
        <x:v>Zakrzewski Rydberg-tweezer localization/topology theory node</x:v>
      </x:c>
      <x:c r="C77" s="14" t="str">
        <x:v>theory_group</x:v>
      </x:c>
      <x:c r="D77" s="14" t="str">
        <x:v>B</x:v>
      </x:c>
      <x:c r="E77" s="14" t="str">
        <x:v>verified</x:v>
      </x:c>
      <x:c r="F77" s="14" t="n">
        <x:v>4</x:v>
      </x:c>
      <x:c r="G77" s="14" t="str">
        <x:v>Jakub Zakrzewski</x:v>
      </x:c>
      <x:c r="H77" s="14" t="str">
        <x:v>Jagiellonian University in Kraków</x:v>
      </x:c>
      <x:c r="I77" s="14" t="str">
        <x:v>Kraków</x:v>
      </x:c>
      <x:c r="J77" s="14" t="str">
        <x:v>Lesser Poland</x:v>
      </x:c>
      <x:c r="K77" s="14" t="str">
        <x:v>Poland</x:v>
      </x:c>
      <x:c r="L77" s="14" t="n">
        <x:v>50.0647</x:v>
      </x:c>
      <x:c r="M77" s="14" t="n">
        <x:v>19.945</x:v>
      </x:c>
      <x:c r="N77" s="14" t="str">
        <x:v>Relevant B</x:v>
      </x:c>
      <x:c r="O77" s="14" t="str">
        <x:v>rydberg_tweezer_arrays; localization; topology; disorder; theory</x:v>
      </x:c>
      <x:c r="P77" s="14" t="str">
        <x:v>generic Rydberg</x:v>
      </x:c>
      <x:c r="Q77" s="14" t="str">
        <x:v>localization; topology; quantum_simulation; disorder; theory</x:v>
      </x:c>
      <x:c r="R77" s="14" t="str">
        <x:v>no</x:v>
      </x:c>
      <x:c r="S77" s="14" t="str">
        <x:v>theory</x:v>
      </x:c>
      <x:c r="T77" s="14" t="str">
        <x:v>https://chaos.if.uj.edu.pl/~kuba/</x:v>
      </x:c>
      <x:c r="U77" s="14" t="str">
        <x:v>https://arxiv.org/abs/2505.07720</x:v>
      </x:c>
      <x:c r="V77" s="14" t="str">
        <x:v>Promoted in v1.7. The paper explicitly states Rydberg tweezer arrays as the target platform and PDF lists Jagiellonian affiliation.</x:v>
      </x:c>
    </x:row>
    <x:row r="78">
      <x:c r="A78" s="14" t="str">
        <x:v>E-077</x:v>
      </x:c>
      <x:c r="B78" s="14" t="str">
        <x:v>Lychkovskiy/Fedorov messenger-qubit Rydberg-processor architecture node</x:v>
      </x:c>
      <x:c r="C78" s="14" t="str">
        <x:v>theory_group</x:v>
      </x:c>
      <x:c r="D78" s="14" t="str">
        <x:v>B</x:v>
      </x:c>
      <x:c r="E78" s="14" t="str">
        <x:v>needs_review</x:v>
      </x:c>
      <x:c r="F78" s="14" t="n">
        <x:v>3</x:v>
      </x:c>
      <x:c r="G78" s="14" t="str">
        <x:v>Oleg V. Lychkovskiy; Aleksey K. Fedorov; collaborators</x:v>
      </x:c>
      <x:c r="H78" s="14" t="str">
        <x:v>Skolkovo Institute of Science and Technology / Russian Quantum Center</x:v>
      </x:c>
      <x:c r="I78" s="14" t="str">
        <x:v>Moscow / Skolkovo</x:v>
      </x:c>
      <x:c r="J78" s="14" t="str">
        <x:v>Moscow Oblast</x:v>
      </x:c>
      <x:c r="K78" s="14" t="str">
        <x:v>Russia</x:v>
      </x:c>
      <x:c r="L78" s="14" t="n">
        <x:v>55.7558</x:v>
      </x:c>
      <x:c r="M78" s="14" t="n">
        <x:v>37.6173</x:v>
      </x:c>
      <x:c r="N78" s="14" t="str">
        <x:v>Relevant B</x:v>
      </x:c>
      <x:c r="O78" s="14" t="str">
        <x:v>rydberg_atom_processors; messenger_qubits; all_to_all_connectivity; architecture; theory</x:v>
      </x:c>
      <x:c r="P78" s="14" t="str">
        <x:v>generic Rydberg</x:v>
      </x:c>
      <x:c r="Q78" s="14" t="str">
        <x:v>architecture; connectivity; messenger_qubits; theory</x:v>
      </x:c>
      <x:c r="R78" s="14" t="str">
        <x:v>no</x:v>
      </x:c>
      <x:c r="S78" s="14" t="str">
        <x:v>theory</x:v>
      </x:c>
      <x:c r="T78" s="14" t="str">
        <x:v>https://arxiv.org/abs/2504.05087</x:v>
      </x:c>
      <x:c r="U78" s="14" t="str">
        <x:v>https://arxiv.org/abs/2504.05087</x:v>
      </x:c>
      <x:c r="V78" s="14" t="str">
        <x:v>Promoted in v1.7 but kept needs_review. Relevant architecture theory for Rydberg-atom processors; optical-tweezer implementation details and exact institution node require one more QC pass.</x:v>
      </x:c>
    </x:row>
    <x:row r="79">
      <x:c r="A79" s="14" t="str">
        <x:v>E-078</x:v>
      </x:c>
      <x:c r="B79" s="14" t="str">
        <x:v>Petrosyan/FORTH-YerPhI Rydberg multiqubit-gate theory node</x:v>
      </x:c>
      <x:c r="C79" s="14" t="str">
        <x:v>theory_group</x:v>
      </x:c>
      <x:c r="D79" s="14" t="str">
        <x:v>B</x:v>
      </x:c>
      <x:c r="E79" s="14" t="str">
        <x:v>verified</x:v>
      </x:c>
      <x:c r="F79" s="14" t="n">
        <x:v>4</x:v>
      </x:c>
      <x:c r="G79" s="14" t="str">
        <x:v>David Petrosyan; Antonis Delakouras; Georgios Doultsinos</x:v>
      </x:c>
      <x:c r="H79" s="14" t="str">
        <x:v>FORTH / University of Crete / A. Alikhanyan National Science Laboratory (YerPhI)</x:v>
      </x:c>
      <x:c r="I79" s="14" t="str">
        <x:v>Heraklion / Yerevan</x:v>
      </x:c>
      <x:c r="J79" s="14" t="str">
        <x:v>Crete / Yerevan</x:v>
      </x:c>
      <x:c r="K79" s="14" t="str">
        <x:v>Greece / Armenia</x:v>
      </x:c>
      <x:c r="L79" s="14" t="n">
        <x:v>35.3387</x:v>
      </x:c>
      <x:c r="M79" s="14" t="n">
        <x:v>25.1442</x:v>
      </x:c>
      <x:c r="N79" s="14" t="str">
        <x:v>Relevant B</x:v>
      </x:c>
      <x:c r="O79" s="14" t="str">
        <x:v>rydberg_array; optical_tweezers; neutral_atom_qc; multiqubit_gates; quantum_bus; theory; connectivity</x:v>
      </x:c>
      <x:c r="P79" s="14" t="str">
        <x:v>generic neutral atoms</x:v>
      </x:c>
      <x:c r="Q79" s="14" t="str">
        <x:v>multiqubit_gates; distant_gates; quantum_bus; connectivity; blockade</x:v>
      </x:c>
      <x:c r="R79" s="14" t="str">
        <x:v>no</x:v>
      </x:c>
      <x:c r="S79" s="14" t="str">
        <x:v>theory</x:v>
      </x:c>
      <x:c r="T79" s="14" t="str">
        <x:v>https://esperia.iesl.forth.gr/~dap/publ.html</x:v>
      </x:c>
      <x:c r="U79" s="14" t="str">
        <x:v>https://arxiv.org/html/2507.16602v2</x:v>
      </x:c>
      <x:c r="V79" s="14" t="str">
        <x:v>Promoted in v2.0 from Saffman-review reference mining. The arXiv HTML lists FORTH/University of Crete/YerPhI affiliations and the paper explicitly considers neutral atoms in optical tweezers with Rydberg-mediated multiqubit and distant gates.</x:v>
      </x:c>
    </x:row>
    <x:row r="80">
      <x:c r="A80" s="14" t="str">
        <x:v>E-079</x:v>
      </x:c>
      <x:c r="B80" s="14" t="str">
        <x:v>Lechner / Innsbruck-ParityQC neutral-atom gate-set theory node</x:v>
      </x:c>
      <x:c r="C80" s="14" t="str">
        <x:v>mixed</x:v>
      </x:c>
      <x:c r="D80" s="14" t="str">
        <x:v>B</x:v>
      </x:c>
      <x:c r="E80" s="14" t="str">
        <x:v>verified</x:v>
      </x:c>
      <x:c r="F80" s="14" t="n">
        <x:v>4</x:v>
      </x:c>
      <x:c r="G80" s="14" t="str">
        <x:v>Wolfgang Lechner; Pedro Ildefonso; Michael Schuler; Javad Kazemi</x:v>
      </x:c>
      <x:c r="H80" s="14" t="str">
        <x:v>University of Innsbruck / ParityQC</x:v>
      </x:c>
      <x:c r="I80" s="14" t="str">
        <x:v>Innsbruck</x:v>
      </x:c>
      <x:c r="J80" s="14" t="str">
        <x:v>Tyrol</x:v>
      </x:c>
      <x:c r="K80" s="14" t="str">
        <x:v>Austria</x:v>
      </x:c>
      <x:c r="L80" s="14" t="n">
        <x:v>47.2692</x:v>
      </x:c>
      <x:c r="M80" s="14" t="n">
        <x:v>11.4041</x:v>
      </x:c>
      <x:c r="N80" s="14" t="str">
        <x:v>Relevant B</x:v>
      </x:c>
      <x:c r="O80" s="14" t="str">
        <x:v>neutral_atom_qc; rydberg_gates; optical_tweezers; optimal_control; iSWAP; exchange_gates; parity_architecture; theory; company_link</x:v>
      </x:c>
      <x:c r="P80" s="14" t="str">
        <x:v>Sr; generic neutral atoms</x:v>
      </x:c>
      <x:c r="Q80" s="14" t="str">
        <x:v>native_iSWAP; exchange_gates; optimal_control; Rydberg_dipole_dipole</x:v>
      </x:c>
      <x:c r="R80" s="14" t="str">
        <x:v>no</x:v>
      </x:c>
      <x:c r="S80" s="14" t="str">
        <x:v>theory</x:v>
      </x:c>
      <x:c r="T80" s="14" t="str">
        <x:v>https://www.uibk.ac.at/en/th-physik/quantum-computing/publications/</x:v>
      </x:c>
      <x:c r="U80" s="14" t="str">
        <x:v>https://arxiv.org/html/2512.05037v1</x:v>
      </x:c>
      <x:c r="V80" s="14" t="str">
        <x:v>Promoted in v2.0. The paper lists University of Innsbruck plus ParityQC affiliations, models Sr neutral-atom QPUs, and is relevant for expanding native Rydberg gate sets beyond CZ.</x:v>
      </x:c>
    </x:row>
    <x:row r="81">
      <x:c r="A81" s="14" t="str">
        <x:v>E-080</x:v>
      </x:c>
      <x:c r="B81" s="14" t="str">
        <x:v>Khazali-Mølmer conditional-exchange neutral-atom gate theory node</x:v>
      </x:c>
      <x:c r="C81" s="14" t="str">
        <x:v>theory_group</x:v>
      </x:c>
      <x:c r="D81" s="14" t="str">
        <x:v>B</x:v>
      </x:c>
      <x:c r="E81" s="14" t="str">
        <x:v>verified</x:v>
      </x:c>
      <x:c r="F81" s="14" t="n">
        <x:v>3</x:v>
      </x:c>
      <x:c r="G81" s="14" t="str">
        <x:v>Mohammadsadegh Khazali; Klaus Mølmer</x:v>
      </x:c>
      <x:c r="H81" s="14" t="str">
        <x:v>University of Tehran / Niels Bohr Institute</x:v>
      </x:c>
      <x:c r="I81" s="14" t="str">
        <x:v>Tehran / Copenhagen</x:v>
      </x:c>
      <x:c r="J81" s="14"/>
      <x:c r="K81" s="14" t="str">
        <x:v>Iran / Denmark</x:v>
      </x:c>
      <x:c r="L81" s="14" t="n">
        <x:v>55.6761</x:v>
      </x:c>
      <x:c r="M81" s="14" t="n">
        <x:v>12.5683</x:v>
      </x:c>
      <x:c r="N81" s="14" t="str">
        <x:v>Relevant B</x:v>
      </x:c>
      <x:c r="O81" s="14" t="str">
        <x:v>neutral_atom_arrays; rydberg_gates; controlled_SWAP; conditional_exchange; routing; theory</x:v>
      </x:c>
      <x:c r="P81" s="14" t="str">
        <x:v>generic neutral atoms</x:v>
      </x:c>
      <x:c r="Q81" s="14" t="str">
        <x:v>controlled_SWAP; conditional_exchange; routing; native_multiqubit_gates</x:v>
      </x:c>
      <x:c r="R81" s="14" t="str">
        <x:v>no</x:v>
      </x:c>
      <x:c r="S81" s="14" t="str">
        <x:v>theory</x:v>
      </x:c>
      <x:c r="T81" s="14" t="str">
        <x:v>https://arxiv.org/html/2511.22214v1</x:v>
      </x:c>
      <x:c r="U81" s="14" t="str">
        <x:v>https://arxiv.org/html/2511.22214v1</x:v>
      </x:c>
      <x:c r="V81" s="14" t="str">
        <x:v>Promoted in v2.0 with optical_tweezers=unclear. Strongly relevant to Rydberg neutral-atom gate theory, but the paper discusses neutral atom arrays broadly rather than a specific tweezer processor.</x:v>
      </x:c>
    </x:row>
    <x:row r="82">
      <x:c r="A82" s="14" t="str">
        <x:v>E-081</x:v>
      </x:c>
      <x:c r="B82" s="14" t="str">
        <x:v>PNNL multi-target Rydberg gates and neutral-atom architecture node</x:v>
      </x:c>
      <x:c r="C82" s="14" t="str">
        <x:v>national_lab</x:v>
      </x:c>
      <x:c r="D82" s="14" t="str">
        <x:v>B</x:v>
      </x:c>
      <x:c r="E82" s="14" t="str">
        <x:v>verified</x:v>
      </x:c>
      <x:c r="F82" s="14" t="n">
        <x:v>4</x:v>
      </x:c>
      <x:c r="G82" s="14" t="str">
        <x:v>Ang Li; Samuel Stein; Chenxu Liu; collaborators</x:v>
      </x:c>
      <x:c r="H82" s="14" t="str">
        <x:v>Pacific Northwest National Laboratory</x:v>
      </x:c>
      <x:c r="I82" s="14" t="str">
        <x:v>Richland</x:v>
      </x:c>
      <x:c r="J82" s="14" t="str">
        <x:v>WA</x:v>
      </x:c>
      <x:c r="K82" s="14" t="str">
        <x:v>United States</x:v>
      </x:c>
      <x:c r="L82" s="14" t="n">
        <x:v>46.2804</x:v>
      </x:c>
      <x:c r="M82" s="14" t="n">
        <x:v>-119.2752</x:v>
      </x:c>
      <x:c r="N82" s="14" t="str">
        <x:v>Relevant B</x:v>
      </x:c>
      <x:c r="O82" s="14" t="str">
        <x:v>neutral_atom_qc; rydberg_gates; multi_target_gates; QEC; pulse_synthesis; architecture; software_hardware_codesign; theory</x:v>
      </x:c>
      <x:c r="P82" s="14" t="str">
        <x:v>generic neutral atoms</x:v>
      </x:c>
      <x:c r="Q82" s="14" t="str">
        <x:v>multi_target_gates; spatial_blockade_engineering; syndrome_extraction; QEC_architecture</x:v>
      </x:c>
      <x:c r="R82" s="14" t="str">
        <x:v>no</x:v>
      </x:c>
      <x:c r="S82" s="14" t="str">
        <x:v>theory</x:v>
      </x:c>
      <x:c r="T82" s="14" t="str">
        <x:v>https://www.pnnl.gov/projects/quantum-algorithms-and-architecture-domain-science/leadership</x:v>
      </x:c>
      <x:c r="U82" s="14" t="str">
        <x:v>https://arxiv.org/html/2504.15282v1</x:v>
      </x:c>
      <x:c r="V82" s="14" t="str">
        <x:v>Promoted in v2.0. The arXiv HTML lists PNNL affiliations for Stein/Liu/Li and the work targets multi-target Rydberg gates for neutral-atom syndrome extraction. Marked yes/unclear for tweezers because the target hardware is neutral-atom arrays, not a PNNL experimental tweezer platform.</x:v>
      </x:c>
    </x:row>
    <x:row r="83">
      <x:c r="A83" s="14" t="str">
        <x:v>E-082</x:v>
      </x:c>
      <x:c r="B83" s="14" t="str">
        <x:v>Stanford-Chicago RF-tuned Förster Rydberg-interaction node</x:v>
      </x:c>
      <x:c r="C83" s="14" t="str">
        <x:v>academic</x:v>
      </x:c>
      <x:c r="D83" s="14" t="str">
        <x:v>C</x:v>
      </x:c>
      <x:c r="E83" s="14" t="str">
        <x:v>verified</x:v>
      </x:c>
      <x:c r="F83" s="14" t="n">
        <x:v>2</x:v>
      </x:c>
      <x:c r="G83" s="14" t="str">
        <x:v>Jon Simon; Lukas Palm; Stanford/Chicago collaborators</x:v>
      </x:c>
      <x:c r="H83" s="14" t="str">
        <x:v>Stanford University / University of Chicago</x:v>
      </x:c>
      <x:c r="I83" s="14" t="str">
        <x:v>Stanford / Chicago</x:v>
      </x:c>
      <x:c r="J83" s="14" t="str">
        <x:v>CA / IL</x:v>
      </x:c>
      <x:c r="K83" s="14" t="str">
        <x:v>United States</x:v>
      </x:c>
      <x:c r="L83" s="14" t="n">
        <x:v>37.4275</x:v>
      </x:c>
      <x:c r="M83" s="14" t="n">
        <x:v>-122.1697</x:v>
      </x:c>
      <x:c r="N83" s="14" t="str">
        <x:v>Adjacent C</x:v>
      </x:c>
      <x:c r="O83" s="14" t="str">
        <x:v>rydberg_interactions; RF_tuned_forster; microwave_dressing; blockade_enhancement; cavity_Rydberg; adjacent_interaction_engineering</x:v>
      </x:c>
      <x:c r="P83" s="14" t="str">
        <x:v>Rb</x:v>
      </x:c>
      <x:c r="Q83" s="14" t="str">
        <x:v>interaction_engineering; enhanced_blockade; RF_tuned_Forster_resonance; adjacent</x:v>
      </x:c>
      <x:c r="R83" s="14" t="str">
        <x:v>experimental</x:v>
      </x:c>
      <x:c r="S83" s="14" t="str">
        <x:v>mixed</x:v>
      </x:c>
      <x:c r="T83" s="14" t="str">
        <x:v>https://arxiv.org/html/2603.07958v1</x:v>
      </x:c>
      <x:c r="U83" s="14" t="str">
        <x:v>https://arxiv.org/html/2603.07958v1</x:v>
      </x:c>
      <x:c r="V83" s="14" t="str">
        <x:v>Promoted in v2.0 as C adjacent because it is Rydberg interaction engineering relevant to gates and dressing, but the demonstrated system is cavity/ensemble-oriented rather than a neutral-atom tweezer array processor.</x:v>
      </x:c>
    </x:row>
  </x:sheetData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0" hidden="0" customWidth="1"/>
    <x:col min="3" max="3" width="70" hidden="0" customWidth="1"/>
    <x:col min="5" max="5" width="18" hidden="0" customWidth="1"/>
    <x:col min="6" max="6" width="18" hidden="0" customWidth="1"/>
  </x:cols>
  <x:sheetData>
    <x:row r="1">
      <x:c r="A1" s="109" t="str">
        <x:v>Metric</x:v>
      </x:c>
      <x:c r="B1" s="109" t="str">
        <x:v>Value</x:v>
      </x:c>
      <x:c r="C1" s="109" t="str">
        <x:v>Interpretation</x:v>
      </x:c>
      <x:c r="E1" s="108" t="str">
        <x:v>Country</x:v>
      </x:c>
      <x:c r="F1" s="108" t="str">
        <x:v>Entries</x:v>
      </x:c>
    </x:row>
    <x:row r="2">
      <x:c r="A2" s="14" t="str">
        <x:v>Database entries</x:v>
      </x:c>
      <x:c r="B2" s="14" t="n">
        <x:v>59</x:v>
      </x:c>
      <x:c r="C2" s="14" t="str">
        <x:v>Total curated rows in Database.</x:v>
      </x:c>
      <x:c r="E2" t="str">
        <x:v>United States</x:v>
      </x:c>
      <x:c r="F2" t="n">
        <x:v>25</x:v>
      </x:c>
    </x:row>
    <x:row r="3">
      <x:c r="A3" s="14" t="str">
        <x:v>Map-ready rows</x:v>
      </x:c>
      <x:c r="B3" s="14" t="n">
        <x:v>59</x:v>
      </x:c>
      <x:c r="C3" s="14" t="str">
        <x:v>Rows with latitude/longitude and exportable to GeoJSON.</x:v>
      </x:c>
      <x:c r="E3" t="str">
        <x:v>China</x:v>
      </x:c>
      <x:c r="F3" t="n">
        <x:v>9</x:v>
      </x:c>
    </x:row>
    <x:row r="4">
      <x:c r="A4" s="14" t="str">
        <x:v>A core entries</x:v>
      </x:c>
      <x:c r="B4" s="14" t="n">
        <x:v>16</x:v>
      </x:c>
      <x:c r="C4" s="14" t="str">
        <x:v>High-confidence core experimental/company nodes.</x:v>
      </x:c>
      <x:c r="E4" t="str">
        <x:v>Germany</x:v>
      </x:c>
      <x:c r="F4" t="n">
        <x:v>7</x:v>
      </x:c>
    </x:row>
    <x:row r="5">
      <x:c r="A5" s="14" t="str">
        <x:v>B relevant entries</x:v>
      </x:c>
      <x:c r="B5" s="14" t="n">
        <x:v>34</x:v>
      </x:c>
      <x:c r="C5" s="14" t="str">
        <x:v>Relevant but not always hardware-core or still missing details.</x:v>
      </x:c>
      <x:c r="E5" t="str">
        <x:v>France</x:v>
      </x:c>
      <x:c r="F5" t="n">
        <x:v>6</x:v>
      </x:c>
    </x:row>
    <x:row r="6">
      <x:c r="A6" s="14" t="str">
        <x:v>C adjacent entries</x:v>
      </x:c>
      <x:c r="B6" s="14" t="n">
        <x:v>9</x:v>
      </x:c>
      <x:c r="C6" s="14" t="str">
        <x:v>Adjacent, theory/metrology/sensing or lower confidence.</x:v>
      </x:c>
      <x:c r="E6" t="str">
        <x:v>Japan</x:v>
      </x:c>
      <x:c r="F6" t="n">
        <x:v>2</x:v>
      </x:c>
    </x:row>
    <x:row r="7">
      <x:c r="A7" s="14" t="str">
        <x:v>Countries represented</x:v>
      </x:c>
      <x:c r="B7" s="14" t="n">
        <x:v>11</x:v>
      </x:c>
      <x:c r="C7" s="14" t="str">
        <x:v>Unique countries in Database.</x:v>
      </x:c>
      <x:c r="E7" t="str">
        <x:v>Austria</x:v>
      </x:c>
      <x:c r="F7" t="n">
        <x:v>2</x:v>
      </x:c>
    </x:row>
    <x:row r="8">
      <x:c r="A8" s="14" t="str">
        <x:v>Companies / company teams</x:v>
      </x:c>
      <x:c r="B8" s="14" t="n">
        <x:v>9</x:v>
      </x:c>
      <x:c r="C8" s="14" t="str">
        <x:v>Commercial ecosystem nodes.</x:v>
      </x:c>
      <x:c r="E8" t="str">
        <x:v>Singapore</x:v>
      </x:c>
      <x:c r="F8" t="n">
        <x:v>2</x:v>
      </x:c>
    </x:row>
    <x:row r="9">
      <x:c r="A9" s="14" t="str">
        <x:v>Theory groups</x:v>
      </x:c>
      <x:c r="B9" s="14" t="n">
        <x:v>13</x:v>
      </x:c>
      <x:c r="C9" s="14" t="str">
        <x:v>Dedicated theory/software/algorithms nodes.</x:v>
      </x:c>
      <x:c r="E9" t="str">
        <x:v>Switzerland</x:v>
      </x:c>
      <x:c r="F9" t="n">
        <x:v>2</x:v>
      </x:c>
    </x:row>
    <x:row r="10">
      <x:c r="A10" s="14" t="str">
        <x:v>Academic entries</x:v>
      </x:c>
      <x:c r="B10" s="14" t="n">
        <x:v>33</x:v>
      </x:c>
      <x:c r="C10" s="14" t="str">
        <x:v>Academic experimental or mixed groups.</x:v>
      </x:c>
      <x:c r="E10" t="str">
        <x:v>United Kingdom</x:v>
      </x:c>
      <x:c r="F10" t="n">
        <x:v>2</x:v>
      </x:c>
    </x:row>
    <x:row r="11">
      <x:c r="A11" s="14" t="str">
        <x:v>National lab entries</x:v>
      </x:c>
      <x:c r="B11" s="14" t="n">
        <x:v>2</x:v>
      </x:c>
      <x:c r="C11" s="14" t="str">
        <x:v>Public/national lab programs.</x:v>
      </x:c>
      <x:c r="E11" t="str">
        <x:v>Italy</x:v>
      </x:c>
      <x:c r="F11" t="n">
        <x:v>1</x:v>
      </x:c>
    </x:row>
    <x:row r="12">
      <x:c r="A12" s="14" t="str">
        <x:v>Next step 1</x:v>
      </x:c>
      <x:c r="B12" s="14" t="str">
        <x:v>Run systematic arXiv batch</x:v>
      </x:c>
      <x:c r="C12" s="14" t="str">
        <x:v>2024-2026 only; extract last author and affiliation.</x:v>
      </x:c>
      <x:c r="E12" t="str">
        <x:v>Netherlands</x:v>
      </x:c>
      <x:c r="F12" t="n">
        <x:v>1</x:v>
      </x:c>
    </x:row>
    <x:row r="13">
      <x:c r="A13" s="14" t="str">
        <x:v>Next step 2</x:v>
      </x:c>
      <x:c r="B13" s="14" t="str">
        <x:v>ROR normalization</x:v>
      </x:c>
      <x:c r="C13" s="14" t="str">
        <x:v>Fill ror_id and canonical institution names.</x:v>
      </x:c>
    </x:row>
    <x:row r="14">
      <x:c r="A14" s="14" t="str">
        <x:v>Next step 3</x:v>
      </x:c>
      <x:c r="B14" s="14" t="str">
        <x:v>Deduplicate ecosystems</x:v>
      </x:c>
      <x:c r="C14" s="14" t="str">
        <x:v>Especially Harvard, Princeton, NUS/CQT, Chinese groups, and cloud/software nodes.</x:v>
      </x:c>
    </x:row>
    <x:row r="15">
      <x:c r="A15" t="str">
        <x:v>v1.3 status</x:v>
      </x:c>
      <x:c r="B15" t="str">
        <x:v>64 entries total</x:v>
      </x:c>
      <x:c r="C15" t="str">
        <x:v>16 Core A</x:v>
      </x:c>
      <x:c r="D15" t="str">
        <x:v>38 Relevant B</x:v>
      </x:c>
      <x:c r="E15" t="str">
        <x:v>10 Adjacent C</x:v>
      </x:c>
      <x:c r="F15" t="str">
        <x:v>All new promoted nodes have coordinates</x:v>
      </x:c>
    </x:row>
    <x:row r="16">
      <x:c r="A16" t="str">
        <x:v>v1.3 export</x:v>
      </x:c>
      <x:c r="B16" t="str">
        <x:v>Map_Export updated</x:v>
      </x:c>
      <x:c r="C16" t="str">
        <x:v>CSV regenerated</x:v>
      </x:c>
      <x:c r="D16" t="str">
        <x:v>GeoJSON regenerated</x:v>
      </x:c>
      <x:c r="E16" t="str">
        <x:v>No new A core</x:v>
      </x:c>
      <x:c r="F16" t="str">
        <x:v>Next: ROR/geocoding cleanup</x:v>
      </x:c>
    </x:row>
    <x:row r="17">
      <x:c r="A17" t="str">
        <x:v>v1.3 caveat</x:v>
      </x:c>
      <x:c r="B17" t="str">
        <x:v>Wei Zhang kept C</x:v>
      </x:c>
      <x:c r="C17" t="str">
        <x:v>Fallani kept B pending Rydberg interaction result</x:v>
      </x:c>
      <x:c r="D17" t="str">
        <x:v>Peng Xu technical node</x:v>
      </x:c>
      <x:c r="E17" t="str">
        <x:v>Yelin/Lerose theory layer</x:v>
      </x:c>
      <x:c r="F17" t="str">
        <x:v>Ming-Sheng Zhan pending</x:v>
      </x:c>
    </x:row>
    <x:row r="18">
      <x:c r="A18" t="str">
        <x:v>v1.3 next step</x:v>
      </x:c>
      <x:c r="B18" t="str">
        <x:v>Focused arXiv batch</x:v>
      </x:c>
      <x:c r="C18" t="str">
        <x:v>query by last author and affiliation</x:v>
      </x:c>
      <x:c r="D18" t="str">
        <x:v>promote only repeated hits</x:v>
      </x:c>
      <x:c r="E18" t="str">
        <x:v>deduplicate China/Japan/Singapore nodes</x:v>
      </x:c>
      <x:c r="F18" t="str"/>
    </x:row>
  </x:sheetData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FormatPr defaultRowHeight="15"/>
  <x:cols>
    <x:col min="1" max="1" width="11.25" hidden="0" customWidth="1"/>
    <x:col min="2" max="2" width="9.380000114440918" hidden="0" customWidth="1"/>
    <x:col min="3" max="3" width="44" hidden="0" customWidth="1"/>
    <x:col min="4" max="4" width="4.25" hidden="0" customWidth="1"/>
    <x:col min="5" max="5" width="30.3799991607666" hidden="0" customWidth="1"/>
    <x:col min="6" max="6" width="14.25" hidden="0" customWidth="1"/>
    <x:col min="7" max="7" width="32" hidden="0" customWidth="1"/>
    <x:col min="8" max="8" width="15.75" hidden="0" customWidth="1"/>
    <x:col min="9" max="9" width="8.880000114440918" hidden="0" customWidth="1"/>
    <x:col min="10" max="10" width="86.5" hidden="0" customWidth="1"/>
    <x:col min="11" max="11" width="25.3799991607666" hidden="0" customWidth="1"/>
    <x:col min="12" max="12" width="44" hidden="0" customWidth="1"/>
  </x:cols>
  <x:sheetData>
    <x:row r="1">
      <x:c r="A1" s="115" t="str">
        <x:v>record_id</x:v>
      </x:c>
      <x:c r="B1" s="115" t="str">
        <x:v>arxiv_id</x:v>
      </x:c>
      <x:c r="C1" s="115" t="str">
        <x:v>title</x:v>
      </x:c>
      <x:c r="D1" s="115" t="str">
        <x:v>year</x:v>
      </x:c>
      <x:c r="E1" s="115" t="str">
        <x:v>bucket</x:v>
      </x:c>
      <x:c r="F1" s="115" t="str">
        <x:v>last_author</x:v>
      </x:c>
      <x:c r="G1" s="115" t="str">
        <x:v>institution_normalized</x:v>
      </x:c>
      <x:c r="H1" s="115" t="str">
        <x:v>include_decision</x:v>
      </x:c>
      <x:c r="I1" s="115" t="str">
        <x:v>confidence</x:v>
      </x:c>
      <x:c r="J1" s="115" t="str">
        <x:v>needs_manual_check</x:v>
      </x:c>
      <x:c r="K1" s="115" t="str">
        <x:v>source_url</x:v>
      </x:c>
      <x:c r="L1" s="115" t="str">
        <x:v>next_action</x:v>
      </x:c>
    </x:row>
    <x:row r="2">
      <x:c r="A2" s="14" t="str">
        <x:v>ARXIV-PI-0051</x:v>
      </x:c>
      <x:c r="B2" s="14" t="str">
        <x:v>2408.17048</x:v>
      </x:c>
      <x:c r="C2" s="14" t="str">
        <x:v>Efficient generation of multiqubit entanglement states using rapid adiabatic passage</x:v>
      </x:c>
      <x:c r="D2" s="14" t="n">
        <x:v>2024</x:v>
      </x:c>
      <x:c r="E2" s="14" t="str">
        <x:v>arxiv v1.1 theory gates/QEC</x:v>
      </x:c>
      <x:c r="F2" s="14" t="str">
        <x:v>Ming Xue</x:v>
      </x:c>
      <x:c r="G2" s="14" t="str">
        <x:v>Nanjing University of Aeronautics and Astronautics (NUAA)</x:v>
      </x:c>
      <x:c r="H2" s="14" t="str">
        <x:v>include</x:v>
      </x:c>
      <x:c r="I2" s="14" t="str">
        <x:v>B/C</x:v>
      </x:c>
      <x:c r="J2" s="53" t="b">
        <x:v>0</x:v>
      </x:c>
      <x:c r="K2" s="14" t="str">
        <x:v>https://arxiv.org/html/2408.17048v1</x:v>
      </x:c>
      <x:c r="L2" s="14" t="str">
        <x:v>keep_candidate | Do not promote yet</x:v>
      </x:c>
    </x:row>
    <x:row r="3">
      <x:c r="A3" s="14" t="str">
        <x:v>ARXIV-PI-0052</x:v>
      </x:c>
      <x:c r="B3" s="14" t="str">
        <x:v>2508.19075</x:v>
      </x:c>
      <x:c r="C3" s="14" t="str">
        <x:v>Universal Dynamics with Globally Controlled Analog Quantum Simulators</x:v>
      </x:c>
      <x:c r="D3" s="14" t="n">
        <x:v>2025</x:v>
      </x:c>
      <x:c r="E3" s="14" t="str">
        <x:v>arxiv v1.1 global-control/analog</x:v>
      </x:c>
      <x:c r="F3" s="14" t="str">
        <x:v>Susanne F. Yelin</x:v>
      </x:c>
      <x:c r="G3" s="14" t="str">
        <x:v>Harvard University / University of Connecticut</x:v>
      </x:c>
      <x:c r="H3" s="14" t="str">
        <x:v>include</x:v>
      </x:c>
      <x:c r="I3" s="14" t="str">
        <x:v>B</x:v>
      </x:c>
      <x:c r="J3" s="53" t="b">
        <x:v>0</x:v>
      </x:c>
      <x:c r="K3" s="14" t="str">
        <x:v>https://mphq.physics.harvard.edu/people/susanne-yelin</x:v>
      </x:c>
      <x:c r="L3" s="14" t="str">
        <x:v>promote_candidate | Promote in next DB pass if not already represented</x:v>
      </x:c>
    </x:row>
    <x:row r="4">
      <x:c r="A4" s="14" t="str">
        <x:v>ARXIV-PI-0053</x:v>
      </x:c>
      <x:c r="B4" s="14" t="str">
        <x:v>2512.18612</x:v>
      </x:c>
      <x:c r="C4" s="14" t="str">
        <x:v>Image Denoising via Quantum Reservoir Computing</x:v>
      </x:c>
      <x:c r="D4" s="14" t="n">
        <x:v>2025</x:v>
      </x:c>
      <x:c r="E4" s="14" t="str">
        <x:v>arxiv v1.1 applications/QuEra</x:v>
      </x:c>
      <x:c r="F4" s="14" t="str">
        <x:v>Jingbo B. Wang</x:v>
      </x:c>
      <x:c r="G4" s="14" t="str">
        <x:v>University of Western Australia</x:v>
      </x:c>
      <x:c r="H4" s="14" t="str">
        <x:v>include</x:v>
      </x:c>
      <x:c r="I4" s="14" t="str">
        <x:v>C</x:v>
      </x:c>
      <x:c r="J4" s="53" t="b">
        <x:v>0</x:v>
      </x:c>
      <x:c r="K4" s="14" t="str">
        <x:v>https://arxiv.org/html/2512.18612v1</x:v>
      </x:c>
      <x:c r="L4" s="14" t="str">
        <x:v>keep_adjacent | Do not promote to hardware map</x:v>
      </x:c>
    </x:row>
    <x:row r="5">
      <x:c r="A5" s="14" t="str">
        <x:v>ARXIV-PI-0054</x:v>
      </x:c>
      <x:c r="B5" s="14" t="str">
        <x:v>2503.16896</x:v>
      </x:c>
      <x:c r="C5" s="14" t="str">
        <x:v>Dual-type dual-element atom arrays for quantum information processing</x:v>
      </x:c>
      <x:c r="D5" s="14" t="n">
        <x:v>2025</x:v>
      </x:c>
      <x:c r="E5" s="14" t="str">
        <x:v>arxiv v1.1 architecture dual-type</x:v>
      </x:c>
      <x:c r="F5" s="14" t="str">
        <x:v>Wenchao Xu</x:v>
      </x:c>
      <x:c r="G5" s="14" t="str">
        <x:v>ETH Zürich / Paul Scherrer Institut</x:v>
      </x:c>
      <x:c r="H5" s="14" t="str">
        <x:v>include</x:v>
      </x:c>
      <x:c r="I5" s="14" t="str">
        <x:v>B</x:v>
      </x:c>
      <x:c r="J5" s="53" t="b">
        <x:v>0</x:v>
      </x:c>
      <x:c r="K5" s="14" t="str">
        <x:v>https://arxiv.org/abs/2503.16896</x:v>
      </x:c>
      <x:c r="L5" s="14" t="str">
        <x:v>keep_candidate | Needs senior-PI check before promotion</x:v>
      </x:c>
    </x:row>
    <x:row r="6">
      <x:c r="A6" s="14" t="str">
        <x:v>ARXIV-PI-0055</x:v>
      </x:c>
      <x:c r="B6" s="14" t="str">
        <x:v>2503.18413</x:v>
      </x:c>
      <x:c r="C6" s="14" t="str">
        <x:v>Exploring the Finite-Temperature Behavior of Rydberg Atom Arrays: A Tensor Network Approach</x:v>
      </x:c>
      <x:c r="D6" s="14" t="n">
        <x:v>2025</x:v>
      </x:c>
      <x:c r="E6" s="14" t="str">
        <x:v>arxiv v1.1 theory finite-temperature</x:v>
      </x:c>
      <x:c r="F6" s="14" t="str">
        <x:v>Lixin He</x:v>
      </x:c>
      <x:c r="G6" s="14" t="str">
        <x:v>University of Science and Technology of China</x:v>
      </x:c>
      <x:c r="H6" s="14" t="str">
        <x:v>include</x:v>
      </x:c>
      <x:c r="I6" s="14" t="str">
        <x:v>B</x:v>
      </x:c>
      <x:c r="J6" s="53" t="b">
        <x:v>0</x:v>
      </x:c>
      <x:c r="K6" s="14" t="str">
        <x:v>https://arxiv.org/abs/2503.18413</x:v>
      </x:c>
      <x:c r="L6" s="14" t="str">
        <x:v>keep_candidate | Do not promote separately yet</x:v>
      </x:c>
    </x:row>
    <x:row r="7">
      <x:c r="A7" s="14" t="str">
        <x:v>ARXIV-PI-0056</x:v>
      </x:c>
      <x:c r="B7" s="14" t="str">
        <x:v>2501.05935</x:v>
      </x:c>
      <x:c r="C7" s="14" t="str">
        <x:v>Plane-selective manipulations of nuclear spin qubits in a three-dimensional optical tweezer array</x:v>
      </x:c>
      <x:c r="D7" s="14" t="n">
        <x:v>2025</x:v>
      </x:c>
      <x:c r="E7" s="14" t="str">
        <x:v>arxiv v1.1 3D tweezer architecture</x:v>
      </x:c>
      <x:c r="F7" s="14" t="str">
        <x:v>Yoshiro Takahashi</x:v>
      </x:c>
      <x:c r="G7" s="14" t="str">
        <x:v>Kyoto University</x:v>
      </x:c>
      <x:c r="H7" s="14" t="str">
        <x:v>include</x:v>
      </x:c>
      <x:c r="I7" s="14" t="str">
        <x:v>B/C</x:v>
      </x:c>
      <x:c r="J7" s="53" t="b">
        <x:v>0</x:v>
      </x:c>
      <x:c r="K7" s="14" t="str">
        <x:v>https://arxiv.org/abs/2501.05935</x:v>
      </x:c>
      <x:c r="L7" s="14" t="str">
        <x:v>keep_adjacent | Do not promote to Rydberg core</x:v>
      </x:c>
    </x:row>
    <x:row r="8">
      <x:c r="A8" s="14" t="str">
        <x:v>ARXIV-PI-0057</x:v>
      </x:c>
      <x:c r="B8" s="14" t="str">
        <x:v>2604.07205</x:v>
      </x:c>
      <x:c r="C8" s="14" t="str">
        <x:v>Defect-free arrays at the thousand-atom scale in a 4-K cryogenic environment</x:v>
      </x:c>
      <x:c r="D8" s="14" t="n">
        <x:v>2026</x:v>
      </x:c>
      <x:c r="E8" s="14" t="str">
        <x:v>arxiv v1.1 large-scale cryogenic arrays</x:v>
      </x:c>
      <x:c r="F8" s="14" t="str">
        <x:v>Bruno Ximenez</x:v>
      </x:c>
      <x:c r="G8" s="14" t="str">
        <x:v>PASQAL SAS / Institut d'Optique</x:v>
      </x:c>
      <x:c r="H8" s="14" t="str">
        <x:v>include</x:v>
      </x:c>
      <x:c r="I8" s="14" t="str">
        <x:v>A</x:v>
      </x:c>
      <x:c r="J8" s="53" t="b">
        <x:v>0</x:v>
      </x:c>
      <x:c r="K8" s="14" t="str">
        <x:v>https://arxiv.org/abs/2604.07205</x:v>
      </x:c>
      <x:c r="L8" s="14" t="str">
        <x:v>map_existing | Map to existing PASQAL/IOGS nodes</x:v>
      </x:c>
    </x:row>
    <x:row r="9">
      <x:c r="A9" s="14" t="str">
        <x:v>ARXIV-PI-0058</x:v>
      </x:c>
      <x:c r="B9" s="14" t="str">
        <x:v>2510.19816</x:v>
      </x:c>
      <x:c r="C9" s="14" t="str">
        <x:v>Single Sr Atoms in Optical Tweezer Arrays for Quantum Simulation</x:v>
      </x:c>
      <x:c r="D9" s="14" t="n">
        <x:v>2025</x:v>
      </x:c>
      <x:c r="E9" s="14" t="str">
        <x:v>arxiv v1.1 Sr tweezer platform</x:v>
      </x:c>
      <x:c r="F9" s="14" t="str">
        <x:v>Leonardo Fallani</x:v>
      </x:c>
      <x:c r="G9" s="14" t="str">
        <x:v>University of Florence / CNR-INO / LENS</x:v>
      </x:c>
      <x:c r="H9" s="14" t="str">
        <x:v>include</x:v>
      </x:c>
      <x:c r="I9" s="14" t="str">
        <x:v>B/C</x:v>
      </x:c>
      <x:c r="J9" s="53" t="b">
        <x:v>0</x:v>
      </x:c>
      <x:c r="K9" s="14" t="str">
        <x:v>https://arxiv.org/html/2510.19816v1</x:v>
      </x:c>
      <x:c r="L9" s="14" t="str">
        <x:v>promote_candidate | Promote/strengthen Florence Sr node</x:v>
      </x:c>
    </x:row>
    <x:row r="10">
      <x:c r="A10" s="14" t="str">
        <x:v>ARXIV-PI-0059</x:v>
      </x:c>
      <x:c r="B10" s="14" t="str">
        <x:v>2604.13436</x:v>
      </x:c>
      <x:c r="C10" s="14" t="str">
        <x:v>Coherent Rydberg excitation of single atoms using a pulsed fiber amplifier</x:v>
      </x:c>
      <x:c r="D10" s="14" t="n">
        <x:v>2026</x:v>
      </x:c>
      <x:c r="E10" s="14" t="str">
        <x:v>arxiv v1.1 Rydberg excitation hardware</x:v>
      </x:c>
      <x:c r="F10" s="14" t="str">
        <x:v>Peng Xu</x:v>
      </x:c>
      <x:c r="G10" s="14" t="str">
        <x:v>Innovation Academy for Precision Measurement Science and Technology, CAS / Wuhan Institute of Quantum Technology</x:v>
      </x:c>
      <x:c r="H10" s="14" t="str">
        <x:v>include</x:v>
      </x:c>
      <x:c r="I10" s="14" t="str">
        <x:v>B</x:v>
      </x:c>
      <x:c r="J10" s="53" t="b">
        <x:v>0</x:v>
      </x:c>
      <x:c r="K10" s="14" t="str">
        <x:v>https://arxiv.org/html/2604.13436v1</x:v>
      </x:c>
      <x:c r="L10" s="14" t="str">
        <x:v>promote_candidate | Promote as technical/hardware node after duplicate check</x:v>
      </x:c>
    </x:row>
    <x:row r="11">
      <x:c r="A11" s="14" t="str">
        <x:v>ARXIV-PI-0060</x:v>
      </x:c>
      <x:c r="B11" s="14" t="str">
        <x:v>2409.14544</x:v>
      </x:c>
      <x:c r="C11" s="14" t="str">
        <x:v>Simulating Schwinger model dynamics with quasi-one-dimensional qubit arrays</x:v>
      </x:c>
      <x:c r="D11" s="14" t="n">
        <x:v>2024</x:v>
      </x:c>
      <x:c r="E11" s="14" t="str">
        <x:v>arxiv v1.1 theory field-theory simulation</x:v>
      </x:c>
      <x:c r="F11" s="14" t="str">
        <x:v>Alessio Lerose</x:v>
      </x:c>
      <x:c r="G11" s="14" t="str">
        <x:v>KU Leuven</x:v>
      </x:c>
      <x:c r="H11" s="14" t="str">
        <x:v>include</x:v>
      </x:c>
      <x:c r="I11" s="14" t="str">
        <x:v>B</x:v>
      </x:c>
      <x:c r="J11" s="53" t="b">
        <x:v>0</x:v>
      </x:c>
      <x:c r="K11" s="14" t="str">
        <x:v>https://www.kuleuven.be/wieiswie/en/person/u0172999</x:v>
      </x:c>
      <x:c r="L11" s="14" t="str">
        <x:v>promote_candidate | Promote as theory/application node</x:v>
      </x:c>
    </x:row>
    <x:row r="12">
      <x:c r="A12" s="14" t="str">
        <x:v>ARXIV-PI-0061</x:v>
      </x:c>
      <x:c r="B12" s="14" t="str">
        <x:v>2405.19564</x:v>
      </x:c>
      <x:c r="C12" s="14" t="str">
        <x:v>Parity-controlled gate in a two-dimensional neutral-atom array</x:v>
      </x:c>
      <x:c r="D12" s="14" t="n">
        <x:v>2024</x:v>
      </x:c>
      <x:c r="E12" s="14" t="str">
        <x:v>arxiv v1.1 parity/QEC theory</x:v>
      </x:c>
      <x:c r="F12" s="14" t="str">
        <x:v>X. Q. Shao</x:v>
      </x:c>
      <x:c r="G12" s="14" t="str">
        <x:v>Northeast Normal University</x:v>
      </x:c>
      <x:c r="H12" s="14" t="str">
        <x:v>include</x:v>
      </x:c>
      <x:c r="I12" s="14" t="str">
        <x:v>B/C</x:v>
      </x:c>
      <x:c r="J12" s="53" t="b">
        <x:v>0</x:v>
      </x:c>
      <x:c r="K12" s="14" t="str">
        <x:v>https://arxiv.org/html/2405.19564v2</x:v>
      </x:c>
      <x:c r="L12" s="14" t="str">
        <x:v>keep_candidate | Promote only if theory layer grows</x:v>
      </x:c>
    </x:row>
    <x:row r="13">
      <x:c r="A13" s="14" t="str">
        <x:v>ARXIV-PI-0062</x:v>
      </x:c>
      <x:c r="B13" s="14" t="str">
        <x:v>2606.11000</x:v>
      </x:c>
      <x:c r="C13" s="14" t="str">
        <x:v>Analog Quantum Asynchronous Event-Based Graph Neural Networks with Neutral Atom Processors</x:v>
      </x:c>
      <x:c r="D13" s="14" t="n">
        <x:v>2026</x:v>
      </x:c>
      <x:c r="E13" s="14" t="str">
        <x:v>arxiv v1.1 application/software</x:v>
      </x:c>
      <x:c r="F13" s="14" t="str">
        <x:v>K. Sotirov</x:v>
      </x:c>
      <x:c r="G13" s="14" t="str">
        <x:v>King's College London / PASQAL / Northeastern University London</x:v>
      </x:c>
      <x:c r="H13" s="14" t="str">
        <x:v>include</x:v>
      </x:c>
      <x:c r="I13" s="14" t="str">
        <x:v>C</x:v>
      </x:c>
      <x:c r="J13" s="53" t="b">
        <x:v>0</x:v>
      </x:c>
      <x:c r="K13" s="14" t="str">
        <x:v>https://arxiv.org/html/2606.11000v1</x:v>
      </x:c>
      <x:c r="L13" s="14" t="str">
        <x:v>keep_application_layer | Do not promote as hardware group</x:v>
      </x:c>
    </x:row>
    <x:row r="14">
      <x:c r="A14" s="14" t="str">
        <x:v>ARXIV-PI-0063</x:v>
      </x:c>
      <x:c r="B14" s="14" t="str">
        <x:v>2604.12204</x:v>
      </x:c>
      <x:c r="C14" s="14" t="str">
        <x:v>A compact setup for 87Rb optical tweezer arrays</x:v>
      </x:c>
      <x:c r="D14" s="14" t="n">
        <x:v>2026</x:v>
      </x:c>
      <x:c r="E14" s="14" t="str">
        <x:v>arxiv v1.1 compact tweezer setup</x:v>
      </x:c>
      <x:c r="F14" s="14" t="str">
        <x:v>Wei Zhang</x:v>
      </x:c>
      <x:c r="G14" s="14" t="str">
        <x:v>Renmin University of China / BAQIS</x:v>
      </x:c>
      <x:c r="H14" s="14" t="str">
        <x:v>include</x:v>
      </x:c>
      <x:c r="I14" s="14" t="str">
        <x:v>B/C</x:v>
      </x:c>
      <x:c r="J14" s="53" t="b">
        <x:v>0</x:v>
      </x:c>
      <x:c r="K14" s="14" t="str">
        <x:v>https://arxiv.org/html/2604.12204v1</x:v>
      </x:c>
      <x:c r="L14" s="14" t="str">
        <x:v>keep_candidate | Check against existing BAQIS/Renmin rows</x:v>
      </x:c>
    </x:row>
    <x:row r="15">
      <x:c r="A15" s="14" t="str">
        <x:v>ARXIV-PI-0064</x:v>
      </x:c>
      <x:c r="B15" s="14" t="str">
        <x:v>2412.14647</x:v>
      </x:c>
      <x:c r="C15" s="14" t="str">
        <x:v>AI-Enabled Rapid Assembly of Thousands of Defect-Free Neutral Atom Arrays with Constant-time-overhead</x:v>
      </x:c>
      <x:c r="D15" s="14" t="n">
        <x:v>2024</x:v>
      </x:c>
      <x:c r="E15" s="14" t="str">
        <x:v>arxiv v1.1 large-scale assembly</x:v>
      </x:c>
      <x:c r="F15" s="14" t="str">
        <x:v>Jian-Wei Pan</x:v>
      </x:c>
      <x:c r="G15" s="14" t="str">
        <x:v>University of Science and Technology of China</x:v>
      </x:c>
      <x:c r="H15" s="14" t="str">
        <x:v>include</x:v>
      </x:c>
      <x:c r="I15" s="14" t="str">
        <x:v>B</x:v>
      </x:c>
      <x:c r="J15" s="53" t="b">
        <x:v>0</x:v>
      </x:c>
      <x:c r="K15" s="14" t="str">
        <x:v>https://arxiv.org/abs/2412.14647</x:v>
      </x:c>
      <x:c r="L15" s="14" t="str">
        <x:v>map_existing | Map to existing USTC/Pan row</x:v>
      </x:c>
    </x:row>
    <x:row r="16">
      <x:c r="A16" s="14" t="str">
        <x:v>ARXIV-PI-0065</x:v>
      </x:c>
      <x:c r="B16" s="14" t="str">
        <x:v>2501.02248</x:v>
      </x:c>
      <x:c r="C16" s="14" t="str">
        <x:v>Enhanced Atom-by-Atom Assembly of Defect-Free Two-Dimensional Mixed-Species Atomic Arrays</x:v>
      </x:c>
      <x:c r="D16" s="14" t="n">
        <x:v>2025</x:v>
      </x:c>
      <x:c r="E16" s="14" t="str">
        <x:v>arxiv v1.1 mixed-species arrays</x:v>
      </x:c>
      <x:c r="F16" s="14" t="str">
        <x:v>Ming-Sheng Zhan</x:v>
      </x:c>
      <x:c r="G16" s="14" t="str">
        <x:v>Innovation Academy for Precision Measurement Science and Technology, CAS</x:v>
      </x:c>
      <x:c r="H16" s="14" t="str">
        <x:v>include</x:v>
      </x:c>
      <x:c r="I16" s="14" t="str">
        <x:v>B/C</x:v>
      </x:c>
      <x:c r="J16" s="53" t="b">
        <x:v>1</x:v>
      </x:c>
      <x:c r="K16" s="14" t="str">
        <x:v>https://arxiv.org/abs/2501.02248</x:v>
      </x:c>
      <x:c r="L16" s="14" t="str">
        <x:v>keep_candidate | Resolve exact affiliations from PDF before promotion</x:v>
      </x:c>
    </x:row>
    <x:row r="17">
      <x:c r="A17" s="14" t="str">
        <x:v>ARXIV-PI-0066</x:v>
      </x:c>
      <x:c r="B17" s="14" t="str">
        <x:v>2412.20261</x:v>
      </x:c>
      <x:c r="C17" s="14" t="str">
        <x:v>Interleaved dual-species arrays of single atoms using a passive optical element and one trapping laser</x:v>
      </x:c>
      <x:c r="D17" s="14" t="n">
        <x:v>2024</x:v>
      </x:c>
      <x:c r="E17" s="14" t="str">
        <x:v>arxiv v1.1 dual-species hardware</x:v>
      </x:c>
      <x:c r="F17" s="14" t="str">
        <x:v>Mark Saffman</x:v>
      </x:c>
      <x:c r="G17" s="14" t="str">
        <x:v>University of Wisconsin-Madison</x:v>
      </x:c>
      <x:c r="H17" s="14" t="str">
        <x:v>include</x:v>
      </x:c>
      <x:c r="I17" s="14" t="str">
        <x:v>B</x:v>
      </x:c>
      <x:c r="J17" s="53" t="b">
        <x:v>0</x:v>
      </x:c>
      <x:c r="K17" s="14" t="str">
        <x:v>https://arxiv.org/abs/2412.20261</x:v>
      </x:c>
      <x:c r="L17" s="14" t="str">
        <x:v>map_existing | Map to existing Saffman row</x:v>
      </x:c>
    </x:row>
    <x:row r="18">
      <x:c r="A18" s="14" t="str">
        <x:v>ARXIV-PI-0067</x:v>
      </x:c>
      <x:c r="B18" s="14" t="str">
        <x:v>2406.16146</x:v>
      </x:c>
      <x:c r="C18" s="14" t="str">
        <x:v>Optical Tweezer Arrays of Erbium Atoms</x:v>
      </x:c>
      <x:c r="D18" s="14" t="n">
        <x:v>2024</x:v>
      </x:c>
      <x:c r="E18" s="14" t="str">
        <x:v>arxiv v1.1 adjacent lanthanide tweezers</x:v>
      </x:c>
      <x:c r="F18" s="14" t="str">
        <x:v>Francesca Ferlaino</x:v>
      </x:c>
      <x:c r="G18" s="14" t="str">
        <x:v>University of Innsbruck / IQOQI Innsbruck</x:v>
      </x:c>
      <x:c r="H18" s="14" t="str">
        <x:v>include_as_adjacent</x:v>
      </x:c>
      <x:c r="I18" s="14" t="str">
        <x:v>C</x:v>
      </x:c>
      <x:c r="J18" s="53" t="b">
        <x:v>0</x:v>
      </x:c>
      <x:c r="K18" s="14" t="str">
        <x:v>https://arxiv.org/abs/2406.16146</x:v>
      </x:c>
      <x:c r="L18" s="14" t="str">
        <x:v>keep_adjacent | Do not promote to Rydberg-core unless adjacent layer kept</x:v>
      </x:c>
    </x:row>
  </x:sheetData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2" hidden="0" customWidth="1"/>
    <x:col min="3" max="3" width="28" hidden="0" customWidth="1"/>
    <x:col min="4" max="4" width="10" hidden="0" customWidth="1"/>
    <x:col min="5" max="5" width="22" hidden="0" customWidth="1"/>
    <x:col min="6" max="6" width="36" hidden="0" customWidth="1"/>
    <x:col min="7" max="7" width="15" hidden="0" customWidth="1"/>
    <x:col min="8" max="8" width="15" hidden="0" customWidth="1"/>
    <x:col min="9" max="9" width="46" hidden="0" customWidth="1"/>
    <x:col min="10" max="10" width="14" hidden="0" customWidth="1"/>
    <x:col min="11" max="11" width="22" hidden="0" customWidth="1"/>
    <x:col min="12" max="12" width="28" hidden="0" customWidth="1"/>
    <x:col min="13" max="13" width="18" hidden="0" customWidth="1"/>
    <x:col min="14" max="14" width="55" hidden="0" customWidth="1"/>
  </x:cols>
  <x:sheetData>
    <x:row r="1" ht="36" customHeight="1">
      <x:c r="A1" s="120" t="str">
        <x:v>record_id</x:v>
      </x:c>
      <x:c r="B1" s="120" t="str">
        <x:v>arxiv_id</x:v>
      </x:c>
      <x:c r="C1" s="120" t="str">
        <x:v>title_short</x:v>
      </x:c>
      <x:c r="D1" s="120" t="str">
        <x:v>year</x:v>
      </x:c>
      <x:c r="E1" s="120" t="str">
        <x:v>last_author</x:v>
      </x:c>
      <x:c r="F1" s="120" t="str">
        <x:v>resolved_institution</x:v>
      </x:c>
      <x:c r="G1" s="120" t="str">
        <x:v>city</x:v>
      </x:c>
      <x:c r="H1" s="120" t="str">
        <x:v>country</x:v>
      </x:c>
      <x:c r="I1" s="120" t="str">
        <x:v>evidence_url</x:v>
      </x:c>
      <x:c r="J1" s="120" t="str">
        <x:v>evidence_quality</x:v>
      </x:c>
      <x:c r="K1" s="120" t="str">
        <x:v>recommended_action</x:v>
      </x:c>
      <x:c r="L1" s="120" t="str">
        <x:v>database_action</x:v>
      </x:c>
      <x:c r="M1" s="120" t="str">
        <x:v>classification</x:v>
      </x:c>
      <x:c r="N1" s="120" t="str">
        <x:v>notes</x:v>
      </x:c>
    </x:row>
    <x:row r="2" ht="36" customHeight="1">
      <x:c r="A2" s="14" t="str">
        <x:v>ARXIV-PI-0051</x:v>
      </x:c>
      <x:c r="B2" s="14" t="str">
        <x:v>2408.17048</x:v>
      </x:c>
      <x:c r="C2" s="14" t="str">
        <x:v>RAP entanglement in Rydberg arrays</x:v>
      </x:c>
      <x:c r="D2" s="14" t="n">
        <x:v>2024</x:v>
      </x:c>
      <x:c r="E2" s="14" t="str">
        <x:v>Ming Xue</x:v>
      </x:c>
      <x:c r="F2" s="14" t="str">
        <x:v>Nanjing University of Aeronautics and Astronautics (NUAA)</x:v>
      </x:c>
      <x:c r="G2" s="14" t="str">
        <x:v>Nanjing</x:v>
      </x:c>
      <x:c r="H2" s="14" t="str">
        <x:v>China</x:v>
      </x:c>
      <x:c r="I2" s="14" t="str">
        <x:v>https://arxiv.org/html/2408.17048v1</x:v>
      </x:c>
      <x:c r="J2" s="14" t="str">
        <x:v>high</x:v>
      </x:c>
      <x:c r="K2" s="14" t="str">
        <x:v>keep_candidate</x:v>
      </x:c>
      <x:c r="L2" s="14" t="str">
        <x:v>Do not promote yet</x:v>
      </x:c>
      <x:c r="M2" s="14" t="str">
        <x:v>B/C theory</x:v>
      </x:c>
      <x:c r="N2" s="14" t="str">
        <x:v>Affiliation resolved from arXiv HTML. Theory/control paper; useful if repeated Rydberg-array hits appear.</x:v>
      </x:c>
    </x:row>
    <x:row r="3" ht="36" customHeight="1">
      <x:c r="A3" s="14" t="str">
        <x:v>ARXIV-PI-0052</x:v>
      </x:c>
      <x:c r="B3" s="14" t="str">
        <x:v>2508.19075</x:v>
      </x:c>
      <x:c r="C3" s="14" t="str">
        <x:v>Universal dynamics with global control</x:v>
      </x:c>
      <x:c r="D3" s="14" t="n">
        <x:v>2025</x:v>
      </x:c>
      <x:c r="E3" s="14" t="str">
        <x:v>Susanne F. Yelin</x:v>
      </x:c>
      <x:c r="F3" s="14" t="str">
        <x:v>Harvard University / University of Connecticut</x:v>
      </x:c>
      <x:c r="G3" s="14" t="str">
        <x:v>Cambridge</x:v>
      </x:c>
      <x:c r="H3" s="14" t="str">
        <x:v>United States</x:v>
      </x:c>
      <x:c r="I3" s="14" t="str">
        <x:v>https://mphq.physics.harvard.edu/people/susanne-yelin</x:v>
      </x:c>
      <x:c r="J3" s="14" t="str">
        <x:v>high</x:v>
      </x:c>
      <x:c r="K3" s="14" t="str">
        <x:v>promote_candidate</x:v>
      </x:c>
      <x:c r="L3" s="14" t="str">
        <x:v>Promote in next DB pass if not already represented</x:v>
      </x:c>
      <x:c r="M3" s="14" t="str">
        <x:v>B theory/control</x:v>
      </x:c>
      <x:c r="N3" s="14" t="str">
        <x:v>Official Harvard/MPHQ profile verifies current Harvard role. Paper includes experimental Rydberg-array demonstration and direct quantum optimal control.</x:v>
      </x:c>
    </x:row>
    <x:row r="4" ht="36" customHeight="1">
      <x:c r="A4" s="14" t="str">
        <x:v>ARXIV-PI-0053</x:v>
      </x:c>
      <x:c r="B4" s="14" t="str">
        <x:v>2512.18612</x:v>
      </x:c>
      <x:c r="C4" s="14" t="str">
        <x:v>Image denoising via quantum reservoir computing</x:v>
      </x:c>
      <x:c r="D4" s="14" t="n">
        <x:v>2025</x:v>
      </x:c>
      <x:c r="E4" s="14" t="str">
        <x:v>Jingbo B. Wang</x:v>
      </x:c>
      <x:c r="F4" s="14" t="str">
        <x:v>University of Western Australia</x:v>
      </x:c>
      <x:c r="G4" s="14" t="str">
        <x:v>Perth</x:v>
      </x:c>
      <x:c r="H4" s="14" t="str">
        <x:v>Australia</x:v>
      </x:c>
      <x:c r="I4" s="14" t="str">
        <x:v>https://arxiv.org/html/2512.18612v1</x:v>
      </x:c>
      <x:c r="J4" s="14" t="str">
        <x:v>high</x:v>
      </x:c>
      <x:c r="K4" s="14" t="str">
        <x:v>keep_adjacent</x:v>
      </x:c>
      <x:c r="L4" s="14" t="str">
        <x:v>Do not promote to hardware map</x:v>
      </x:c>
      <x:c r="M4" s="14" t="str">
        <x:v>C application/software</x:v>
      </x:c>
      <x:c r="N4" s="14" t="str">
        <x:v>Affiliation resolved from arXiv HTML. Relevant application layer but not a hardware/group node for Rydberg tweezers.</x:v>
      </x:c>
    </x:row>
    <x:row r="5" ht="36" customHeight="1">
      <x:c r="A5" s="14" t="str">
        <x:v>ARXIV-PI-0054</x:v>
      </x:c>
      <x:c r="B5" s="14" t="str">
        <x:v>2503.16896</x:v>
      </x:c>
      <x:c r="C5" s="14" t="str">
        <x:v>Dual-type dual-element atom arrays</x:v>
      </x:c>
      <x:c r="D5" s="14" t="n">
        <x:v>2025</x:v>
      </x:c>
      <x:c r="E5" s="14" t="str">
        <x:v>Wenchao Xu</x:v>
      </x:c>
      <x:c r="F5" s="14" t="str">
        <x:v>ETH Zürich / Paul Scherrer Institut</x:v>
      </x:c>
      <x:c r="G5" s="14" t="str">
        <x:v>Zurich</x:v>
      </x:c>
      <x:c r="H5" s="14" t="str">
        <x:v>Switzerland</x:v>
      </x:c>
      <x:c r="I5" s="14" t="str">
        <x:v>https://arxiv.org/abs/2503.16896</x:v>
      </x:c>
      <x:c r="J5" s="14" t="str">
        <x:v>medium-high</x:v>
      </x:c>
      <x:c r="K5" s="14" t="str">
        <x:v>keep_candidate</x:v>
      </x:c>
      <x:c r="L5" s="14" t="str">
        <x:v>Needs senior-PI check before promotion</x:v>
      </x:c>
      <x:c r="M5" s="14" t="str">
        <x:v>B architecture</x:v>
      </x:c>
      <x:c r="N5" s="14" t="str">
        <x:v>Affiliation already resolved in v1.1. Keep as architecture candidate until senior group ownership is clear.</x:v>
      </x:c>
    </x:row>
    <x:row r="6" ht="36" customHeight="1">
      <x:c r="A6" s="14" t="str">
        <x:v>ARXIV-PI-0055</x:v>
      </x:c>
      <x:c r="B6" s="14" t="str">
        <x:v>2503.18413</x:v>
      </x:c>
      <x:c r="C6" s="14" t="str">
        <x:v>Finite-temperature Rydberg arrays tensor network</x:v>
      </x:c>
      <x:c r="D6" s="14" t="n">
        <x:v>2025</x:v>
      </x:c>
      <x:c r="E6" s="14" t="str">
        <x:v>Lixin He</x:v>
      </x:c>
      <x:c r="F6" s="14" t="str">
        <x:v>University of Science and Technology of China</x:v>
      </x:c>
      <x:c r="G6" s="14" t="str">
        <x:v>Hefei</x:v>
      </x:c>
      <x:c r="H6" s="14" t="str">
        <x:v>China</x:v>
      </x:c>
      <x:c r="I6" s="14" t="str">
        <x:v>https://arxiv.org/abs/2503.18413</x:v>
      </x:c>
      <x:c r="J6" s="14" t="str">
        <x:v>medium-high</x:v>
      </x:c>
      <x:c r="K6" s="14" t="str">
        <x:v>keep_candidate</x:v>
      </x:c>
      <x:c r="L6" s="14" t="str">
        <x:v>Do not promote separately yet</x:v>
      </x:c>
      <x:c r="M6" s="14" t="str">
        <x:v>B theory</x:v>
      </x:c>
      <x:c r="N6" s="14" t="str">
        <x:v>Resolved at institution level; avoid over-counting against existing USTC/Pan theory/platform nodes.</x:v>
      </x:c>
    </x:row>
    <x:row r="7" ht="36" customHeight="1">
      <x:c r="A7" s="14" t="str">
        <x:v>ARXIV-PI-0056</x:v>
      </x:c>
      <x:c r="B7" s="14" t="str">
        <x:v>2501.05935</x:v>
      </x:c>
      <x:c r="C7" s="14" t="str">
        <x:v>3D optical tweezer array nuclear spin qubits</x:v>
      </x:c>
      <x:c r="D7" s="14" t="n">
        <x:v>2025</x:v>
      </x:c>
      <x:c r="E7" s="14" t="str">
        <x:v>Yoshiro Takahashi</x:v>
      </x:c>
      <x:c r="F7" s="14" t="str">
        <x:v>Kyoto University</x:v>
      </x:c>
      <x:c r="G7" s="14" t="str">
        <x:v>Kyoto</x:v>
      </x:c>
      <x:c r="H7" s="14" t="str">
        <x:v>Japan</x:v>
      </x:c>
      <x:c r="I7" s="14" t="str">
        <x:v>https://arxiv.org/abs/2501.05935</x:v>
      </x:c>
      <x:c r="J7" s="14" t="str">
        <x:v>medium-high</x:v>
      </x:c>
      <x:c r="K7" s="14" t="str">
        <x:v>keep_adjacent</x:v>
      </x:c>
      <x:c r="L7" s="14" t="str">
        <x:v>Do not promote to Rydberg core</x:v>
      </x:c>
      <x:c r="M7" s="14" t="str">
        <x:v>B/C adjacent</x:v>
      </x:c>
      <x:c r="N7" s="14" t="str">
        <x:v>Strong tweezer/alkaline-earth platform but Rydberg is contextual rather than demonstrated core in this paper.</x:v>
      </x:c>
    </x:row>
    <x:row r="8" ht="36" customHeight="1">
      <x:c r="A8" s="14" t="str">
        <x:v>ARXIV-PI-0057</x:v>
      </x:c>
      <x:c r="B8" s="14" t="str">
        <x:v>2604.07205</x:v>
      </x:c>
      <x:c r="C8" s="14" t="str">
        <x:v>4-K cryogenic thousand-atom arrays</x:v>
      </x:c>
      <x:c r="D8" s="14" t="n">
        <x:v>2026</x:v>
      </x:c>
      <x:c r="E8" s="14" t="str">
        <x:v>Bruno Ximenez</x:v>
      </x:c>
      <x:c r="F8" s="14" t="str">
        <x:v>PASQAL SAS / Institut d'Optique</x:v>
      </x:c>
      <x:c r="G8" s="14" t="str">
        <x:v>Palaiseau</x:v>
      </x:c>
      <x:c r="H8" s="14" t="str">
        <x:v>France</x:v>
      </x:c>
      <x:c r="I8" s="14" t="str">
        <x:v>https://arxiv.org/abs/2604.07205</x:v>
      </x:c>
      <x:c r="J8" s="14" t="str">
        <x:v>high</x:v>
      </x:c>
      <x:c r="K8" s="14" t="str">
        <x:v>map_existing</x:v>
      </x:c>
      <x:c r="L8" s="14" t="str">
        <x:v>Map to existing PASQAL/IOGS nodes</x:v>
      </x:c>
      <x:c r="M8" s="14" t="str">
        <x:v>A infrastructure</x:v>
      </x:c>
      <x:c r="N8" s="14" t="str">
        <x:v>Infrastructure signal for PASQAL/IOGS ecosystem, not a separate group.</x:v>
      </x:c>
    </x:row>
    <x:row r="9" ht="36" customHeight="1">
      <x:c r="A9" s="14" t="str">
        <x:v>ARXIV-PI-0058</x:v>
      </x:c>
      <x:c r="B9" s="14" t="str">
        <x:v>2510.19816</x:v>
      </x:c>
      <x:c r="C9" s="14" t="str">
        <x:v>Single Sr atoms in optical tweezer arrays</x:v>
      </x:c>
      <x:c r="D9" s="14" t="n">
        <x:v>2025</x:v>
      </x:c>
      <x:c r="E9" s="14" t="str">
        <x:v>Leonardo Fallani</x:v>
      </x:c>
      <x:c r="F9" s="14" t="str">
        <x:v>University of Florence / CNR-INO / LENS</x:v>
      </x:c>
      <x:c r="G9" s="14" t="str">
        <x:v>Florence</x:v>
      </x:c>
      <x:c r="H9" s="14" t="str">
        <x:v>Italy</x:v>
      </x:c>
      <x:c r="I9" s="14" t="str">
        <x:v>https://arxiv.org/html/2510.19816v1</x:v>
      </x:c>
      <x:c r="J9" s="14" t="str">
        <x:v>high</x:v>
      </x:c>
      <x:c r="K9" s="14" t="str">
        <x:v>promote_candidate</x:v>
      </x:c>
      <x:c r="L9" s="14" t="str">
        <x:v>Promote/strengthen Florence Sr node</x:v>
      </x:c>
      <x:c r="M9" s="14" t="str">
        <x:v>B/C platform</x:v>
      </x:c>
      <x:c r="N9" s="14" t="str">
        <x:v>arXiv HTML lists authors/affiliations and paper demonstrates Sr tweezer platform; Rydberg role is future/contextual.</x:v>
      </x:c>
    </x:row>
    <x:row r="10" ht="36" customHeight="1">
      <x:c r="A10" s="14" t="str">
        <x:v>ARXIV-PI-0059</x:v>
      </x:c>
      <x:c r="B10" s="14" t="str">
        <x:v>2604.13436</x:v>
      </x:c>
      <x:c r="C10" s="14" t="str">
        <x:v>Pulsed fiber amplifier Rydberg excitation</x:v>
      </x:c>
      <x:c r="D10" s="14" t="n">
        <x:v>2026</x:v>
      </x:c>
      <x:c r="E10" s="14" t="str">
        <x:v>Peng Xu</x:v>
      </x:c>
      <x:c r="F10" s="14" t="str">
        <x:v>Innovation Academy for Precision Measurement Science and Technology, CAS / Wuhan Institute of Quantum Technology</x:v>
      </x:c>
      <x:c r="G10" s="14" t="str">
        <x:v>Wuhan</x:v>
      </x:c>
      <x:c r="H10" s="14" t="str">
        <x:v>China</x:v>
      </x:c>
      <x:c r="I10" s="14" t="str">
        <x:v>https://arxiv.org/html/2604.13436v1</x:v>
      </x:c>
      <x:c r="J10" s="14" t="str">
        <x:v>high</x:v>
      </x:c>
      <x:c r="K10" s="14" t="str">
        <x:v>promote_candidate</x:v>
      </x:c>
      <x:c r="L10" s="14" t="str">
        <x:v>Promote as technical/hardware node after duplicate check</x:v>
      </x:c>
      <x:c r="M10" s="14" t="str">
        <x:v>B technical hardware</x:v>
      </x:c>
      <x:c r="N10" s="14" t="str">
        <x:v>Affiliation and Rydberg single-atom excitation in Rb atom array resolved from arXiv HTML.</x:v>
      </x:c>
    </x:row>
    <x:row r="11" ht="36" customHeight="1">
      <x:c r="A11" s="14" t="str">
        <x:v>ARXIV-PI-0060</x:v>
      </x:c>
      <x:c r="B11" s="14" t="str">
        <x:v>2409.14544</x:v>
      </x:c>
      <x:c r="C11" s="14" t="str">
        <x:v>Schwinger model dynamics with qubit arrays</x:v>
      </x:c>
      <x:c r="D11" s="14" t="n">
        <x:v>2024</x:v>
      </x:c>
      <x:c r="E11" s="14" t="str">
        <x:v>Alessio Lerose</x:v>
      </x:c>
      <x:c r="F11" s="14" t="str">
        <x:v>KU Leuven</x:v>
      </x:c>
      <x:c r="G11" s="14" t="str">
        <x:v>Leuven</x:v>
      </x:c>
      <x:c r="H11" s="14" t="str">
        <x:v>Belgium</x:v>
      </x:c>
      <x:c r="I11" s="14" t="str">
        <x:v>https://www.kuleuven.be/wieiswie/en/person/u0172999</x:v>
      </x:c>
      <x:c r="J11" s="14" t="str">
        <x:v>high</x:v>
      </x:c>
      <x:c r="K11" s="14" t="str">
        <x:v>promote_candidate</x:v>
      </x:c>
      <x:c r="L11" s="14" t="str">
        <x:v>Promote as theory/application node</x:v>
      </x:c>
      <x:c r="M11" s="14" t="str">
        <x:v>B theory/application</x:v>
      </x:c>
      <x:c r="N11" s="14" t="str">
        <x:v>Official KU Leuven page verifies appointment; paper proposes implementation with state-of-the-art dual-species Rydberg atom arrays.</x:v>
      </x:c>
    </x:row>
    <x:row r="12" ht="36" customHeight="1">
      <x:c r="A12" s="14" t="str">
        <x:v>ARXIV-PI-0061</x:v>
      </x:c>
      <x:c r="B12" s="14" t="str">
        <x:v>2405.19564</x:v>
      </x:c>
      <x:c r="C12" s="14" t="str">
        <x:v>Parity-controlled gate in neutral-atom array</x:v>
      </x:c>
      <x:c r="D12" s="14" t="n">
        <x:v>2024</x:v>
      </x:c>
      <x:c r="E12" s="14" t="str">
        <x:v>X. Q. Shao</x:v>
      </x:c>
      <x:c r="F12" s="14" t="str">
        <x:v>Northeast Normal University</x:v>
      </x:c>
      <x:c r="G12" s="14" t="str">
        <x:v>Changchun</x:v>
      </x:c>
      <x:c r="H12" s="14" t="str">
        <x:v>China</x:v>
      </x:c>
      <x:c r="I12" s="14" t="str">
        <x:v>https://arxiv.org/html/2405.19564v2</x:v>
      </x:c>
      <x:c r="J12" s="14" t="str">
        <x:v>high</x:v>
      </x:c>
      <x:c r="K12" s="14" t="str">
        <x:v>keep_candidate</x:v>
      </x:c>
      <x:c r="L12" s="14" t="str">
        <x:v>Promote only if theory layer grows</x:v>
      </x:c>
      <x:c r="M12" s="14" t="str">
        <x:v>B/C theory/QEC</x:v>
      </x:c>
      <x:c r="N12" s="14" t="str">
        <x:v>Affiliation resolved from arXiv HTML. Direct Rydberg-array QEC theory but no experimental group signal.</x:v>
      </x:c>
    </x:row>
    <x:row r="13" ht="36" customHeight="1">
      <x:c r="A13" s="14" t="str">
        <x:v>ARXIV-PI-0062</x:v>
      </x:c>
      <x:c r="B13" s="14" t="str">
        <x:v>2606.11000</x:v>
      </x:c>
      <x:c r="C13" s="14" t="str">
        <x:v>Quantum analog AEGNN on neutral atoms</x:v>
      </x:c>
      <x:c r="D13" s="14" t="n">
        <x:v>2026</x:v>
      </x:c>
      <x:c r="E13" s="14" t="str">
        <x:v>Kristian Sotirov / Osvaldo Simeone</x:v>
      </x:c>
      <x:c r="F13" s="14" t="str">
        <x:v>King's College London / PASQAL / Northeastern University London</x:v>
      </x:c>
      <x:c r="G13" s="14" t="str">
        <x:v>London</x:v>
      </x:c>
      <x:c r="H13" s="14" t="str">
        <x:v>United Kingdom</x:v>
      </x:c>
      <x:c r="I13" s="14" t="str">
        <x:v>https://arxiv.org/html/2606.11000v1</x:v>
      </x:c>
      <x:c r="J13" s="14" t="str">
        <x:v>high</x:v>
      </x:c>
      <x:c r="K13" s="14" t="str">
        <x:v>keep_application_layer</x:v>
      </x:c>
      <x:c r="L13" s="14" t="str">
        <x:v>Do not promote as hardware group</x:v>
      </x:c>
      <x:c r="M13" s="14" t="str">
        <x:v>C application/software</x:v>
      </x:c>
      <x:c r="N13" s="14" t="str">
        <x:v>arXiv HTML lists KCL, PASQAL and Northeastern London affiliations. Useful as PASQAL application/software layer.</x:v>
      </x:c>
    </x:row>
    <x:row r="14" ht="36" customHeight="1">
      <x:c r="A14" s="14" t="str">
        <x:v>ARXIV-PI-0063</x:v>
      </x:c>
      <x:c r="B14" s="14" t="str">
        <x:v>2604.12204</x:v>
      </x:c>
      <x:c r="C14" s="14" t="str">
        <x:v>Compact 87Rb optical tweezer array setup</x:v>
      </x:c>
      <x:c r="D14" s="14" t="n">
        <x:v>2026</x:v>
      </x:c>
      <x:c r="E14" s="14" t="str">
        <x:v>Wei Zhang</x:v>
      </x:c>
      <x:c r="F14" s="14" t="str">
        <x:v>Renmin University of China / BAQIS</x:v>
      </x:c>
      <x:c r="G14" s="14" t="str">
        <x:v>Beijing</x:v>
      </x:c>
      <x:c r="H14" s="14" t="str">
        <x:v>China</x:v>
      </x:c>
      <x:c r="I14" s="14" t="str">
        <x:v>https://arxiv.org/html/2604.12204v1</x:v>
      </x:c>
      <x:c r="J14" s="14" t="str">
        <x:v>high</x:v>
      </x:c>
      <x:c r="K14" s="14" t="str">
        <x:v>keep_candidate</x:v>
      </x:c>
      <x:c r="L14" s="14" t="str">
        <x:v>Check against existing BAQIS/Renmin rows</x:v>
      </x:c>
      <x:c r="M14" s="14" t="str">
        <x:v>B/C platform</x:v>
      </x:c>
      <x:c r="N14" s="14" t="str">
        <x:v>Affiliation resolved from arXiv HTML. Compact tweezer setup, not clearly Rydberg-core.</x:v>
      </x:c>
    </x:row>
    <x:row r="15" ht="36" customHeight="1">
      <x:c r="A15" s="14" t="str">
        <x:v>ARXIV-PI-0064</x:v>
      </x:c>
      <x:c r="B15" s="14" t="str">
        <x:v>2412.14647</x:v>
      </x:c>
      <x:c r="C15" s="14" t="str">
        <x:v>AI-enabled assembly of thousands of neutral atoms</x:v>
      </x:c>
      <x:c r="D15" s="14" t="n">
        <x:v>2024</x:v>
      </x:c>
      <x:c r="E15" s="14" t="str">
        <x:v>Jian-Wei Pan</x:v>
      </x:c>
      <x:c r="F15" s="14" t="str">
        <x:v>University of Science and Technology of China</x:v>
      </x:c>
      <x:c r="G15" s="14" t="str">
        <x:v>Hefei</x:v>
      </x:c>
      <x:c r="H15" s="14" t="str">
        <x:v>China</x:v>
      </x:c>
      <x:c r="I15" s="14" t="str">
        <x:v>https://arxiv.org/abs/2412.14647</x:v>
      </x:c>
      <x:c r="J15" s="14" t="str">
        <x:v>high</x:v>
      </x:c>
      <x:c r="K15" s="14" t="str">
        <x:v>map_existing</x:v>
      </x:c>
      <x:c r="L15" s="14" t="str">
        <x:v>Map to existing USTC/Pan row</x:v>
      </x:c>
      <x:c r="M15" s="14" t="str">
        <x:v>B platform</x:v>
      </x:c>
      <x:c r="N15" s="14" t="str">
        <x:v>Already handled as platform-scaling layer; not new group.</x:v>
      </x:c>
    </x:row>
    <x:row r="16" ht="36" customHeight="1">
      <x:c r="A16" s="14" t="str">
        <x:v>ARXIV-PI-0065</x:v>
      </x:c>
      <x:c r="B16" s="14" t="str">
        <x:v>2501.02248</x:v>
      </x:c>
      <x:c r="C16" s="14" t="str">
        <x:v>Mixed-species defect-free atom arrays</x:v>
      </x:c>
      <x:c r="D16" s="14" t="n">
        <x:v>2025</x:v>
      </x:c>
      <x:c r="E16" s="14" t="str">
        <x:v>Ming-Sheng Zhan</x:v>
      </x:c>
      <x:c r="F16" s="14" t="str">
        <x:v>Innovation Academy for Precision Measurement Science and Technology, CAS</x:v>
      </x:c>
      <x:c r="G16" s="14" t="str">
        <x:v>Wuhan</x:v>
      </x:c>
      <x:c r="H16" s="14" t="str">
        <x:v>China</x:v>
      </x:c>
      <x:c r="I16" s="14" t="str">
        <x:v>https://arxiv.org/abs/2501.02248</x:v>
      </x:c>
      <x:c r="J16" s="14" t="str">
        <x:v>medium</x:v>
      </x:c>
      <x:c r="K16" s="14" t="str">
        <x:v>keep_candidate</x:v>
      </x:c>
      <x:c r="L16" s="14" t="str">
        <x:v>Resolve exact affiliations from PDF before promotion</x:v>
      </x:c>
      <x:c r="M16" s="14" t="str">
        <x:v>B/C platform</x:v>
      </x:c>
      <x:c r="N16" s="14" t="str">
        <x:v>Source confirms mixed-species optical tweezer array and senior author; exact affiliation still should be verified from PDF/official group.</x:v>
      </x:c>
    </x:row>
    <x:row r="17" ht="36" customHeight="1">
      <x:c r="A17" s="14" t="str">
        <x:v>ARXIV-PI-0066</x:v>
      </x:c>
      <x:c r="B17" s="14" t="str">
        <x:v>2412.20261</x:v>
      </x:c>
      <x:c r="C17" s="14" t="str">
        <x:v>Interleaved dual-species arrays</x:v>
      </x:c>
      <x:c r="D17" s="14" t="n">
        <x:v>2024</x:v>
      </x:c>
      <x:c r="E17" s="14" t="str">
        <x:v>Mark Saffman</x:v>
      </x:c>
      <x:c r="F17" s="14" t="str">
        <x:v>University of Wisconsin-Madison</x:v>
      </x:c>
      <x:c r="G17" s="14" t="str">
        <x:v>Madison</x:v>
      </x:c>
      <x:c r="H17" s="14" t="str">
        <x:v>United States</x:v>
      </x:c>
      <x:c r="I17" s="14" t="str">
        <x:v>https://arxiv.org/abs/2412.20261</x:v>
      </x:c>
      <x:c r="J17" s="14" t="str">
        <x:v>high</x:v>
      </x:c>
      <x:c r="K17" s="14" t="str">
        <x:v>map_existing</x:v>
      </x:c>
      <x:c r="L17" s="14" t="str">
        <x:v>Map to existing Saffman row</x:v>
      </x:c>
      <x:c r="M17" s="14" t="str">
        <x:v>B infrastructure</x:v>
      </x:c>
      <x:c r="N17" s="14" t="str">
        <x:v>Adds dual-species infrastructure signal to already-known Saffman node.</x:v>
      </x:c>
    </x:row>
    <x:row r="18" ht="36" customHeight="1">
      <x:c r="A18" s="14" t="str">
        <x:v>ARXIV-PI-0067</x:v>
      </x:c>
      <x:c r="B18" s="14" t="str">
        <x:v>2406.16146</x:v>
      </x:c>
      <x:c r="C18" s="14" t="str">
        <x:v>Optical tweezer arrays of erbium atoms</x:v>
      </x:c>
      <x:c r="D18" s="14" t="n">
        <x:v>2024</x:v>
      </x:c>
      <x:c r="E18" s="14" t="str">
        <x:v>Francesca Ferlaino</x:v>
      </x:c>
      <x:c r="F18" s="14" t="str">
        <x:v>University of Innsbruck / IQOQI Innsbruck</x:v>
      </x:c>
      <x:c r="G18" s="14" t="str">
        <x:v>Innsbruck</x:v>
      </x:c>
      <x:c r="H18" s="14" t="str">
        <x:v>Austria</x:v>
      </x:c>
      <x:c r="I18" s="14" t="str">
        <x:v>https://arxiv.org/abs/2406.16146</x:v>
      </x:c>
      <x:c r="J18" s="14" t="str">
        <x:v>high</x:v>
      </x:c>
      <x:c r="K18" s="14" t="str">
        <x:v>keep_adjacent</x:v>
      </x:c>
      <x:c r="L18" s="14" t="str">
        <x:v>Do not promote to Rydberg-core unless adjacent layer kept</x:v>
      </x:c>
      <x:c r="M18" s="14" t="str">
        <x:v>C adjacent lanthanide</x:v>
      </x:c>
      <x:c r="N18" s="14" t="str">
        <x:v>Important adjacent tweezer platform using Er; not Rb/Cs/Sr/Yb Rydberg-array core.</x:v>
      </x:c>
    </x:row>
  </x:sheetData>
  <x:pageMargins left="0.7" right="0.7" top="0.75" bottom="0.75" header="0.3" footer="0.3"/>
  <x:tableParts count="1">
    <x:tablePart xmlns:r="http://schemas.openxmlformats.org/officeDocument/2006/relationships" r:id="R5b8a8c01f5b44f1f"/>
  </x:tableParts>
</x:worksheet>
</file>

<file path=xl/worksheets/sheet20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20" hidden="0" customWidth="1"/>
    <x:col min="3" max="3" width="75" hidden="0" customWidth="1"/>
  </x:cols>
  <x:sheetData>
    <x:row r="1">
      <x:c r="A1" s="124" t="str">
        <x:v>Metric</x:v>
      </x:c>
      <x:c r="B1" s="124" t="str">
        <x:v>Value</x:v>
      </x:c>
      <x:c r="C1" s="124" t="str">
        <x:v>Notes</x:v>
      </x:c>
    </x:row>
    <x:row r="2">
      <x:c r="A2" t="str">
        <x:v>Input batch reviewed</x:v>
      </x:c>
      <x:c r="B2" t="n">
        <x:v>17</x:v>
      </x:c>
      <x:c r="C2" t="str">
        <x:v>Rows ARXIV-PI-0051 to ARXIV-PI-0067</x:v>
      </x:c>
    </x:row>
    <x:row r="3">
      <x:c r="A3" t="str">
        <x:v>Affiliations resolved high or medium-high confidence</x:v>
      </x:c>
      <x:c r="B3" t="n">
        <x:v>16</x:v>
      </x:c>
      <x:c r="C3" t="str">
        <x:v>Marked needs_manual_check = false where evidence quality is high/medium-high</x:v>
      </x:c>
    </x:row>
    <x:row r="4">
      <x:c r="A4" t="str">
        <x:v>Medium-confidence, still needs exact PDF/official check</x:v>
      </x:c>
      <x:c r="B4" t="n">
        <x:v>1</x:v>
      </x:c>
      <x:c r="C4" t="str">
        <x:v>Ming-Sheng Zhan / CAS IAPM</x:v>
      </x:c>
    </x:row>
    <x:row r="5">
      <x:c r="A5" t="str">
        <x:v>Map existing DB nodes</x:v>
      </x:c>
      <x:c r="B5" t="n">
        <x:v>3</x:v>
      </x:c>
      <x:c r="C5" t="str">
        <x:v>PASQAL/IOGS, USTC/Pan, Saffman</x:v>
      </x:c>
    </x:row>
    <x:row r="6">
      <x:c r="A6" t="str">
        <x:v>Promote candidates later</x:v>
      </x:c>
      <x:c r="B6" t="n">
        <x:v>5</x:v>
      </x:c>
      <x:c r="C6" t="str">
        <x:v>Yelin, Fallani, Peng Xu, Alessio Lerose, possibly Wei Zhang</x:v>
      </x:c>
    </x:row>
    <x:row r="7">
      <x:c r="A7" t="str">
        <x:v>Keep as adjacent/application/candidate</x:v>
      </x:c>
      <x:c r="B7" t="n">
        <x:v>9</x:v>
      </x:c>
      <x:c r="C7" t="str">
        <x:v>Jingbo Wang, Takahashi, Sotirov, Ferlaino, X.Q. Shao, Ming Xue, etc.</x:v>
      </x:c>
    </x:row>
    <x:row r="8">
      <x:c r="A8" t="str">
        <x:v>New rows added to Database</x:v>
      </x:c>
      <x:c r="B8" t="n">
        <x:v>0</x:v>
      </x:c>
      <x:c r="C8" t="str">
        <x:v>This pass is cleanup-only to avoid contaminating main map</x:v>
      </x:c>
    </x:row>
    <x:row r="9">
      <x:c r="A9" t="str">
        <x:v>Next recommended step</x:v>
      </x:c>
      <x:c r="B9" t="str">
        <x:v>v1.3</x:v>
      </x:c>
      <x:c r="C9" t="str">
        <x:v>Promote 4-5 resolved candidates into Database and regenerate CSV/GeoJSON</x:v>
      </x:c>
    </x:row>
  </x:sheetData>
  <x:pageMargins left="0.7" right="0.7" top="0.75" bottom="0.75" header="0.3" footer="0.3"/>
</x:worksheet>
</file>

<file path=xl/worksheets/sheet21.xml><?xml version="1.0" encoding="utf-8"?>
<x:worksheet xmlns:x="http://schemas.openxmlformats.org/spreadsheetml/2006/main">
  <x:sheetFormatPr defaultRowHeight="15"/>
  <x:cols>
    <x:col min="1" max="1" width="24.1299991607666" hidden="0" customWidth="1"/>
    <x:col min="2" max="2" width="18.6299991607666" hidden="0" customWidth="1"/>
    <x:col min="3" max="3" width="85.12999725341797" hidden="0" customWidth="1"/>
    <x:col min="4" max="4" width="43.25" hidden="0" customWidth="1"/>
    <x:col min="5" max="5" width="42.630001068115234" hidden="0" customWidth="1"/>
  </x:cols>
  <x:sheetData>
    <x:row r="1">
      <x:c r="A1" s="131" t="str">
        <x:v>item</x:v>
      </x:c>
      <x:c r="B1" s="131" t="str">
        <x:v>value</x:v>
      </x:c>
      <x:c r="C1" s="131" t="str">
        <x:v>notes</x:v>
      </x:c>
      <x:c r="D1" s="131" t="str">
        <x:v>source_1</x:v>
      </x:c>
      <x:c r="E1" s="131" t="str">
        <x:v>source_2</x:v>
      </x:c>
    </x:row>
    <x:row r="2">
      <x:c r="A2" s="14" t="str">
        <x:v>version</x:v>
      </x:c>
      <x:c r="B2" s="14" t="str">
        <x:v>v1.3</x:v>
      </x:c>
      <x:c r="C2" s="14" t="str">
        <x:v>Promotion pass from Affiliation_Cleanup_v1_2 into Database and Map_Export</x:v>
      </x:c>
      <x:c r="D2" s="14"/>
      <x:c r="E2" s="14"/>
    </x:row>
    <x:row r="3">
      <x:c r="A3" s="14" t="str">
        <x:v>date</x:v>
      </x:c>
      <x:c r="B3" s="14" t="str">
        <x:v>2026-06-18</x:v>
      </x:c>
      <x:c r="C3" s="14" t="str">
        <x:v>User-facing snapshot after conservative promotion pass</x:v>
      </x:c>
      <x:c r="D3" s="14"/>
      <x:c r="E3" s="14"/>
    </x:row>
    <x:row r="4">
      <x:c r="A4" s="14" t="str">
        <x:v>database_total_entries</x:v>
      </x:c>
      <x:c r="B4" s="14" t="n">
        <x:v>64</x:v>
      </x:c>
      <x:c r="C4" s="14" t="str">
        <x:v>v1.2 had 59 entries; v1.3 adds 5</x:v>
      </x:c>
      <x:c r="D4" s="14"/>
      <x:c r="E4" s="14"/>
    </x:row>
    <x:row r="5">
      <x:c r="A5" s="14" t="str">
        <x:v>added_B_relevant</x:v>
      </x:c>
      <x:c r="B5" s="14" t="n">
        <x:v>4</x:v>
      </x:c>
      <x:c r="C5" s="14" t="str">
        <x:v>Yelin, LENS Florence/Fallani, Peng Xu, Lerose</x:v>
      </x:c>
      <x:c r="D5" s="14"/>
      <x:c r="E5" s="14"/>
    </x:row>
    <x:row r="6">
      <x:c r="A6" s="14" t="str">
        <x:v>added_C_adjacent</x:v>
      </x:c>
      <x:c r="B6" s="14" t="n">
        <x:v>1</x:v>
      </x:c>
      <x:c r="C6" s="14" t="str">
        <x:v>Wei Zhang compact Rb tweezer platform; not Rydberg-core yet</x:v>
      </x:c>
      <x:c r="D6" s="14"/>
      <x:c r="E6" s="14"/>
    </x:row>
    <x:row r="7">
      <x:c r="A7" s="14" t="str">
        <x:v>Yelin promoted</x:v>
      </x:c>
      <x:c r="B7" s="14" t="str">
        <x:v>B theory/control</x:v>
      </x:c>
      <x:c r="C7" s="14" t="str">
        <x:v>Arxiv paper has Yelin as last author and demonstrates Rydberg-array dynamics; official Harvard page confirms role</x:v>
      </x:c>
      <x:c r="D7" s="14" t="str">
        <x:v>https://arxiv.org/abs/2508.19075</x:v>
      </x:c>
      <x:c r="E7" s="14" t="str">
        <x:v>https://www.physics.harvard.edu/people/facpages/yelin</x:v>
      </x:c>
    </x:row>
    <x:row r="8">
      <x:c r="A8" s="14" t="str">
        <x:v>LENS Florence promoted</x:v>
      </x:c>
      <x:c r="B8" s="14" t="str">
        <x:v>B experimental platform</x:v>
      </x:c>
      <x:c r="C8" s="14" t="str">
        <x:v>Official LENS Sr Rydberg page says it is building programmable optical-tweezer Sr Rydberg platform</x:v>
      </x:c>
      <x:c r="D8" s="14" t="str">
        <x:v>https://quantumgases.lens.unifi.it/exp/sr-rydberg</x:v>
      </x:c>
      <x:c r="E8" s="14" t="str">
        <x:v>https://arxiv.org/abs/2510.19816</x:v>
      </x:c>
    </x:row>
    <x:row r="9">
      <x:c r="A9" s="14" t="str">
        <x:v>Peng Xu promoted</x:v>
      </x:c>
      <x:c r="B9" s="14" t="str">
        <x:v>B technical hardware</x:v>
      </x:c>
      <x:c r="C9" s="14" t="str">
        <x:v>2026 arXiv shows coherent Rydberg excitation in a rubidium optical-tweezer array and lists CAS/Wuhan affiliations</x:v>
      </x:c>
      <x:c r="D9" s="14" t="str">
        <x:v>https://arxiv.org/html/2604.13436v1</x:v>
      </x:c>
      <x:c r="E9" s="14"/>
    </x:row>
    <x:row r="10">
      <x:c r="A10" s="14" t="str">
        <x:v>Lerose promoted</x:v>
      </x:c>
      <x:c r="B10" s="14" t="str">
        <x:v>B theory/application</x:v>
      </x:c>
      <x:c r="C10" s="14" t="str">
        <x:v>KU Leuven page verifies research professor; arXiv paper proposes dual-species Rydberg array implementation</x:v>
      </x:c>
      <x:c r="D10" s="14" t="str">
        <x:v>https://www.kuleuven.be/wieiswie/en/person/00172999</x:v>
      </x:c>
      <x:c r="E10" s="14" t="str">
        <x:v>https://arxiv.org/abs/2409.14544</x:v>
      </x:c>
    </x:row>
    <x:row r="11">
      <x:c r="A11" s="14" t="str">
        <x:v>Wei Zhang promoted cautiously</x:v>
      </x:c>
      <x:c r="B11" s="14" t="str">
        <x:v>C adjacent platform</x:v>
      </x:c>
      <x:c r="C11" s="14" t="str">
        <x:v>2026 paper demonstrates compact 87Rb optical tweezer array but no Rydberg-core result yet</x:v>
      </x:c>
      <x:c r="D11" s="14" t="str">
        <x:v>https://arxiv.org/abs/2604.12204</x:v>
      </x:c>
      <x:c r="E11" s="14"/>
    </x:row>
    <x:row r="12">
      <x:c r="A12" s="14" t="str">
        <x:v>not promoted</x:v>
      </x:c>
      <x:c r="B12" s="14" t="str">
        <x:v>Ming-Sheng Zhan</x:v>
      </x:c>
      <x:c r="C12" s="14" t="str">
        <x:v>Still queued for exact PDF/official affiliation check before separate database node</x:v>
      </x:c>
      <x:c r="D12" s="14"/>
      <x:c r="E12" s="14"/>
    </x:row>
  </x:sheetData>
  <x:pageMargins left="0.7" right="0.7" top="0.75" bottom="0.75" header="0.3" footer="0.3"/>
</x:worksheet>
</file>

<file path=xl/worksheets/sheet2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7.380000114440918" hidden="0" customWidth="1"/>
    <x:col min="3" max="3" width="33.880001068115234" hidden="0" customWidth="1"/>
    <x:col min="4" max="4" width="14" hidden="0" customWidth="1"/>
    <x:col min="5" max="5" width="10.75" hidden="0" customWidth="1"/>
    <x:col min="6" max="6" width="36" hidden="0" customWidth="1"/>
    <x:col min="7" max="7" width="4.25" hidden="0" customWidth="1"/>
    <x:col min="8" max="8" width="12.380000114440918" hidden="0" customWidth="1"/>
    <x:col min="9" max="9" width="11.25" hidden="0" customWidth="1"/>
    <x:col min="10" max="10" width="15.5" hidden="0" customWidth="1"/>
    <x:col min="11" max="11" width="36.25" hidden="0" customWidth="1"/>
    <x:col min="12" max="12" width="69.5" hidden="0" customWidth="1"/>
    <x:col min="13" max="13" width="15.75" hidden="0" customWidth="1"/>
    <x:col min="14" max="14" width="36" hidden="0" customWidth="1"/>
    <x:col min="15" max="15" width="17.3799991607666" hidden="0" customWidth="1"/>
    <x:col min="16" max="16" width="18.75" hidden="0" customWidth="1"/>
    <x:col min="17" max="17" width="23.5" hidden="0" customWidth="1"/>
    <x:col min="18" max="18" width="36" hidden="0" customWidth="1"/>
    <x:col min="19" max="19" width="36" hidden="0" customWidth="1"/>
    <x:col min="20" max="20" width="36" hidden="0" customWidth="1"/>
    <x:col min="21" max="21" width="5.130000114440918" hidden="0" customWidth="1"/>
    <x:col min="22" max="22" width="11.5" hidden="0" customWidth="1"/>
    <x:col min="23" max="23" width="12.630000114440918" hidden="0" customWidth="1"/>
    <x:col min="24" max="24" width="6.630000114440918" hidden="0" customWidth="1"/>
    <x:col min="25" max="25" width="7.880000114440918" hidden="0" customWidth="1"/>
    <x:col min="26" max="26" width="15.25" hidden="0" customWidth="1"/>
    <x:col min="27" max="27" width="16.1299991607666" hidden="0" customWidth="1"/>
    <x:col min="28" max="28" width="3" hidden="0" customWidth="1"/>
    <x:col min="29" max="29" width="25.3799991607666" hidden="0" customWidth="1"/>
    <x:col min="30" max="30" width="25.25" hidden="0" customWidth="1"/>
    <x:col min="31" max="31" width="36" hidden="0" customWidth="1"/>
    <x:col min="32" max="32" width="8.880000114440918" hidden="0" customWidth="1"/>
    <x:col min="33" max="33" width="36" hidden="0" customWidth="1"/>
    <x:col min="34" max="34" width="17" hidden="0" customWidth="1"/>
  </x:cols>
  <x:sheetData>
    <x:row r="1">
      <x:c r="A1" s="136" t="str">
        <x:v>record_id</x:v>
      </x:c>
      <x:c r="B1" s="136" t="str">
        <x:v>query_id</x:v>
      </x:c>
      <x:c r="C1" s="136" t="str">
        <x:v>search_bucket</x:v>
      </x:c>
      <x:c r="D1" s="136" t="str">
        <x:v>arxiv_id</x:v>
      </x:c>
      <x:c r="E1" s="136" t="str">
        <x:v>arxiv_version</x:v>
      </x:c>
      <x:c r="F1" s="136" t="str">
        <x:v>title</x:v>
      </x:c>
      <x:c r="G1" s="136" t="str">
        <x:v>year</x:v>
      </x:c>
      <x:c r="H1" s="136" t="str">
        <x:v>published_date</x:v>
      </x:c>
      <x:c r="I1" s="136" t="str">
        <x:v>updated_date</x:v>
      </x:c>
      <x:c r="J1" s="136" t="str">
        <x:v>primary_category</x:v>
      </x:c>
      <x:c r="K1" s="136" t="str">
        <x:v>all_categories</x:v>
      </x:c>
      <x:c r="L1" s="136" t="str">
        <x:v>matched_keywords</x:v>
      </x:c>
      <x:c r="M1" s="136" t="str">
        <x:v>include_decision</x:v>
      </x:c>
      <x:c r="N1" s="136" t="str">
        <x:v>decision_reason</x:v>
      </x:c>
      <x:c r="O1" s="136" t="str">
        <x:v>last_author_raw</x:v>
      </x:c>
      <x:c r="P1" s="136" t="str">
        <x:v>last_author_normalized</x:v>
      </x:c>
      <x:c r="Q1" s="136" t="str">
        <x:v>last_author_is_PI_assumption</x:v>
      </x:c>
      <x:c r="R1" s="136" t="str">
        <x:v>last_author_affiliation_raw</x:v>
      </x:c>
      <x:c r="S1" s="136" t="str">
        <x:v>affiliation_source</x:v>
      </x:c>
      <x:c r="T1" s="136" t="str">
        <x:v>institution_normalized</x:v>
      </x:c>
      <x:c r="U1" s="136" t="str">
        <x:v>ror_id</x:v>
      </x:c>
      <x:c r="V1" s="136" t="str">
        <x:v>city</x:v>
      </x:c>
      <x:c r="W1" s="136" t="str">
        <x:v>country</x:v>
      </x:c>
      <x:c r="X1" s="136" t="str">
        <x:v>latitude</x:v>
      </x:c>
      <x:c r="Y1" s="136" t="str">
        <x:v>longitude</x:v>
      </x:c>
      <x:c r="Z1" s="136" t="str">
        <x:v>database_entity_id</x:v>
      </x:c>
      <x:c r="AA1" s="136" t="str">
        <x:v>entity_match_status</x:v>
      </x:c>
      <x:c r="AB1" s="136" t="str">
        <x:v>doi</x:v>
      </x:c>
      <x:c r="AC1" s="136" t="str">
        <x:v>arxiv_abs_url</x:v>
      </x:c>
      <x:c r="AD1" s="136" t="str">
        <x:v>arxiv_pdf_url</x:v>
      </x:c>
      <x:c r="AE1" s="136" t="str">
        <x:v>other_source_url</x:v>
      </x:c>
      <x:c r="AF1" s="136" t="str">
        <x:v>confidence</x:v>
      </x:c>
      <x:c r="AG1" s="136" t="str">
        <x:v>curator_notes</x:v>
      </x:c>
      <x:c r="AH1" s="136" t="str">
        <x:v>needs_manual_check</x:v>
      </x:c>
    </x:row>
    <x:row r="2">
      <x:c r="A2" s="14" t="str">
        <x:v>ARXIV-PI-0068</x:v>
      </x:c>
      <x:c r="B2" s="14" t="str">
        <x:v>Q-029</x:v>
      </x:c>
      <x:c r="C2" s="14" t="str">
        <x:v>arxiv v1.4 QEC/global-control theory</x:v>
      </x:c>
      <x:c r="D2" s="14" t="str">
        <x:v>2606.12030</x:v>
      </x:c>
      <x:c r="E2" s="14" t="str">
        <x:v>v1</x:v>
      </x:c>
      <x:c r="F2" s="14" t="str">
        <x:v>Measurement-Free Toric-Code Memory in Array Globally Controlled Rydberg Array</x:v>
      </x:c>
      <x:c r="G2" s="14" t="n">
        <x:v>2026</x:v>
      </x:c>
      <x:c r="H2" s="14" t="str">
        <x:v>2026-06-10</x:v>
      </x:c>
      <x:c r="I2" s="14"/>
      <x:c r="J2" s="14" t="str">
        <x:v>quant-ph</x:v>
      </x:c>
      <x:c r="K2" s="14" t="str">
        <x:v>quant-ph</x:v>
      </x:c>
      <x:c r="L2" s="14" t="str">
        <x:v>neutral-atom Rydberg arrays; toric code; global control; QEC</x:v>
      </x:c>
      <x:c r="M2" s="14" t="str">
        <x:v>include</x:v>
      </x:c>
      <x:c r="N2" s="14" t="str">
        <x:v>Theory/QEC paper explicitly targeting neutral-atom Rydberg arrays and avoiding measurement/movement/local addressing overhead.</x:v>
      </x:c>
      <x:c r="O2" s="14" t="str">
        <x:v>Jinguo Liu</x:v>
      </x:c>
      <x:c r="P2" s="14" t="str">
        <x:v>Jin-Guo Liu</x:v>
      </x:c>
      <x:c r="Q2" s="14" t="str">
        <x:v>yes</x:v>
      </x:c>
      <x:c r="R2" s="14" t="str">
        <x:v>HKUST(GZ) / Quantum Bay (matched existing DB row; canonicalization needed)</x:v>
      </x:c>
      <x:c r="S2" s="14" t="str">
        <x:v>arxiv_abs + existing DB QC</x:v>
      </x:c>
      <x:c r="T2" s="14" t="str">
        <x:v>Hong Kong University of Science and Technology (Guangzhou)</x:v>
      </x:c>
      <x:c r="U2" s="14"/>
      <x:c r="V2" s="14" t="str">
        <x:v>Guangzhou</x:v>
      </x:c>
      <x:c r="W2" s="14" t="str">
        <x:v>China</x:v>
      </x:c>
      <x:c r="X2" s="14" t="n">
        <x:v>23.1291</x:v>
      </x:c>
      <x:c r="Y2" s="14" t="n">
        <x:v>113.2644</x:v>
      </x:c>
      <x:c r="Z2" s="14" t="str">
        <x:v>E-048</x:v>
      </x:c>
      <x:c r="AA2" s="14" t="str">
        <x:v>matched</x:v>
      </x:c>
      <x:c r="AB2" s="14"/>
      <x:c r="AC2" s="14" t="str">
        <x:v>https://arxiv.org/abs/2606.12030</x:v>
      </x:c>
      <x:c r="AD2" s="14" t="str">
        <x:v>https://arxiv.org/pdf/2606.12030</x:v>
      </x:c>
      <x:c r="AE2" s="14"/>
      <x:c r="AF2" s="14" t="str">
        <x:v>B</x:v>
      </x:c>
      <x:c r="AG2" s="14" t="str">
        <x:v>Adds a second 2026 QEC/global-control signal for the existing Jin-Guo Liu theory node.</x:v>
      </x:c>
      <x:c r="AH2" s="53" t="b">
        <x:v>0</x:v>
      </x:c>
    </x:row>
    <x:row r="3">
      <x:c r="A3" s="14" t="str">
        <x:v>ARXIV-PI-0069</x:v>
      </x:c>
      <x:c r="B3" s="14" t="str">
        <x:v>Q-030</x:v>
      </x:c>
      <x:c r="C3" s="14" t="str">
        <x:v>arxiv v1.4 holographic tweezer control</x:v>
      </x:c>
      <x:c r="D3" s="14" t="str">
        <x:v>2604.04600</x:v>
      </x:c>
      <x:c r="E3" s="14" t="str">
        <x:v>v1</x:v>
      </x:c>
      <x:c r="F3" s="14" t="str">
        <x:v>Phase-Stable Hologram Updates for Large-Scale Neutral-Atom Array Reconfiguration</x:v>
      </x:c>
      <x:c r="G3" s="14" t="n">
        <x:v>2026</x:v>
      </x:c>
      <x:c r="H3" s="14" t="str">
        <x:v>2026-04-06</x:v>
      </x:c>
      <x:c r="I3" s="14"/>
      <x:c r="J3" s="14" t="str">
        <x:v>quant-ph</x:v>
      </x:c>
      <x:c r="K3" s="14" t="str">
        <x:v>quant-ph; physics.atom-ph</x:v>
      </x:c>
      <x:c r="L3" s="14" t="str">
        <x:v>dynamic holographic optical tweezers; Rydberg atom arrays; reconfiguration</x:v>
      </x:c>
      <x:c r="M3" s="14" t="str">
        <x:v>include</x:v>
      </x:c>
      <x:c r="N3" s="14" t="str">
        <x:v>Algorithm/control paper explicitly for dynamic holographic optical tweezers and large-scale Rydberg atom-array reconfiguration.</x:v>
      </x:c>
      <x:c r="O3" s="14" t="str">
        <x:v>Jin-Guo Liu</x:v>
      </x:c>
      <x:c r="P3" s="14" t="str">
        <x:v>Jin-Guo Liu</x:v>
      </x:c>
      <x:c r="Q3" s="14" t="str">
        <x:v>yes</x:v>
      </x:c>
      <x:c r="R3" s="14" t="str">
        <x:v>HKUST(GZ) / Quantum Bay (matched existing DB row; canonicalization needed)</x:v>
      </x:c>
      <x:c r="S3" s="14" t="str">
        <x:v>arxiv_abs + existing DB QC</x:v>
      </x:c>
      <x:c r="T3" s="14" t="str">
        <x:v>Hong Kong University of Science and Technology (Guangzhou)</x:v>
      </x:c>
      <x:c r="U3" s="14"/>
      <x:c r="V3" s="14" t="str">
        <x:v>Guangzhou</x:v>
      </x:c>
      <x:c r="W3" s="14" t="str">
        <x:v>China</x:v>
      </x:c>
      <x:c r="X3" s="14" t="n">
        <x:v>23.1291</x:v>
      </x:c>
      <x:c r="Y3" s="14" t="n">
        <x:v>113.2644</x:v>
      </x:c>
      <x:c r="Z3" s="14" t="str">
        <x:v>E-048</x:v>
      </x:c>
      <x:c r="AA3" s="14" t="str">
        <x:v>matched</x:v>
      </x:c>
      <x:c r="AB3" s="14"/>
      <x:c r="AC3" s="14" t="str">
        <x:v>https://arxiv.org/abs/2604.04600</x:v>
      </x:c>
      <x:c r="AD3" s="14" t="str">
        <x:v>https://arxiv.org/pdf/2604.04600</x:v>
      </x:c>
      <x:c r="AE3" s="14"/>
      <x:c r="AF3" s="14" t="str">
        <x:v>B</x:v>
      </x:c>
      <x:c r="AG3" s="14" t="str">
        <x:v>Important infrastructure/control-theory signal for future map layer: holograms, SLM updates, reconfiguration.</x:v>
      </x:c>
      <x:c r="AH3" s="53" t="b">
        <x:v>0</x:v>
      </x:c>
    </x:row>
    <x:row r="4">
      <x:c r="A4" s="14" t="str">
        <x:v>ARXIV-PI-0070</x:v>
      </x:c>
      <x:c r="B4" s="14" t="str">
        <x:v>Q-031</x:v>
      </x:c>
      <x:c r="C4" s="14" t="str">
        <x:v>arxiv v1.4 Yb architecture/QEC</x:v>
      </x:c>
      <x:c r="D4" s="14" t="str">
        <x:v>2606.08453</x:v>
      </x:c>
      <x:c r="E4" s="14" t="str">
        <x:v>v1</x:v>
      </x:c>
      <x:c r="F4" s="14" t="str">
        <x:v>A Dual Metastable-State Encoding Architecture for Quantum Processing with 171Yb Atom Arrays</x:v>
      </x:c>
      <x:c r="G4" s="14" t="n">
        <x:v>2026</x:v>
      </x:c>
      <x:c r="H4" s="14" t="str">
        <x:v>2026-06-07</x:v>
      </x:c>
      <x:c r="I4" s="14"/>
      <x:c r="J4" s="14" t="str">
        <x:v>quant-ph</x:v>
      </x:c>
      <x:c r="K4" s="14" t="str">
        <x:v>quant-ph; physics.atom-ph</x:v>
      </x:c>
      <x:c r="L4" s="14" t="str">
        <x:v>Yb atom arrays; Rydberg-mediated interactions; metastable-state encoding; QEC architecture</x:v>
      </x:c>
      <x:c r="M4" s="14" t="str">
        <x:v>include</x:v>
      </x:c>
      <x:c r="N4" s="14" t="str">
        <x:v>Architecture paper for neutral-atom QIP with Rydberg-mediated entangling interactions and Yb metastable encoding.</x:v>
      </x:c>
      <x:c r="O4" s="14" t="str">
        <x:v>Alex P. Burgers</x:v>
      </x:c>
      <x:c r="P4" s="14" t="str">
        <x:v>Alex P. Burgers</x:v>
      </x:c>
      <x:c r="Q4" s="14" t="str">
        <x:v>yes</x:v>
      </x:c>
      <x:c r="R4" s="14" t="str">
        <x:v>University of Michigan</x:v>
      </x:c>
      <x:c r="S4" s="14" t="str">
        <x:v>arxiv_abs + existing DB row</x:v>
      </x:c>
      <x:c r="T4" s="14" t="str">
        <x:v>University of Michigan</x:v>
      </x:c>
      <x:c r="U4" s="14"/>
      <x:c r="V4" s="14" t="str">
        <x:v>Ann Arbor</x:v>
      </x:c>
      <x:c r="W4" s="14" t="str">
        <x:v>United States</x:v>
      </x:c>
      <x:c r="X4" s="14" t="n">
        <x:v>42.2808</x:v>
      </x:c>
      <x:c r="Y4" s="14" t="n">
        <x:v>-83.743</x:v>
      </x:c>
      <x:c r="Z4" s="14" t="str">
        <x:v>E-051</x:v>
      </x:c>
      <x:c r="AA4" s="14" t="str">
        <x:v>matched</x:v>
      </x:c>
      <x:c r="AB4" s="14"/>
      <x:c r="AC4" s="14" t="str">
        <x:v>https://arxiv.org/abs/2606.08453</x:v>
      </x:c>
      <x:c r="AD4" s="14" t="str">
        <x:v>https://arxiv.org/pdf/2606.08453</x:v>
      </x:c>
      <x:c r="AE4" s="14"/>
      <x:c r="AF4" s="14" t="str">
        <x:v>B</x:v>
      </x:c>
      <x:c r="AG4" s="14" t="str">
        <x:v>Updates Burgers Yb architecture node with new 2026 QEC/encoding paper.</x:v>
      </x:c>
      <x:c r="AH4" s="53" t="b">
        <x:v>0</x:v>
      </x:c>
    </x:row>
    <x:row r="5">
      <x:c r="A5" s="14" t="str">
        <x:v>ARXIV-PI-0071</x:v>
      </x:c>
      <x:c r="B5" s="14" t="str">
        <x:v>Q-032</x:v>
      </x:c>
      <x:c r="C5" s="14" t="str">
        <x:v>arxiv v1.4 optimal-control theory</x:v>
      </x:c>
      <x:c r="D5" s="14" t="str">
        <x:v>2605.04628</x:v>
      </x:c>
      <x:c r="E5" s="14" t="str">
        <x:v>v1</x:v>
      </x:c>
      <x:c r="F5" s="14" t="str">
        <x:v>Intelligent Optimal Control of Rydberg Gates with Incremental-Update Deep Reinforcement Learning</x:v>
      </x:c>
      <x:c r="G5" s="14" t="n">
        <x:v>2026</x:v>
      </x:c>
      <x:c r="H5" s="14" t="str">
        <x:v>2026-05-06</x:v>
      </x:c>
      <x:c r="I5" s="14"/>
      <x:c r="J5" s="14" t="str">
        <x:v>quant-ph</x:v>
      </x:c>
      <x:c r="K5" s="14" t="str">
        <x:v>quant-ph</x:v>
      </x:c>
      <x:c r="L5" s="14" t="str">
        <x:v>Rydberg gates; optimal control; deep reinforcement learning; CNOT</x:v>
      </x:c>
      <x:c r="M5" s="14" t="str">
        <x:v>include</x:v>
      </x:c>
      <x:c r="N5" s="14" t="str">
        <x:v>Theory/control paper for high-fidelity Rydberg gates; useful for software/control layer.</x:v>
      </x:c>
      <x:c r="O5" s="14" t="str">
        <x:v>Jing Qian</x:v>
      </x:c>
      <x:c r="P5" s="14" t="str">
        <x:v>Jing Qian</x:v>
      </x:c>
      <x:c r="Q5" s="14" t="str">
        <x:v>yes</x:v>
      </x:c>
      <x:c r="R5" s="14" t="str">
        <x:v>East China Normal University (needs confirmation)</x:v>
      </x:c>
      <x:c r="S5" s="14" t="str">
        <x:v>arxiv_abs + search snippet</x:v>
      </x:c>
      <x:c r="T5" s="14" t="str">
        <x:v>East China Normal University</x:v>
      </x:c>
      <x:c r="U5" s="14"/>
      <x:c r="V5" s="14" t="str">
        <x:v>Shanghai</x:v>
      </x:c>
      <x:c r="W5" s="14" t="str">
        <x:v>China</x:v>
      </x:c>
      <x:c r="X5" s="14" t="n">
        <x:v>31.2304</x:v>
      </x:c>
      <x:c r="Y5" s="14" t="n">
        <x:v>121.4737</x:v>
      </x:c>
      <x:c r="Z5" s="14"/>
      <x:c r="AA5" s="14" t="str">
        <x:v>new_candidate</x:v>
      </x:c>
      <x:c r="AB5" s="14"/>
      <x:c r="AC5" s="14" t="str">
        <x:v>https://arxiv.org/abs/2605.04628</x:v>
      </x:c>
      <x:c r="AD5" s="14" t="str">
        <x:v>https://arxiv.org/pdf/2605.04628</x:v>
      </x:c>
      <x:c r="AE5" s="14"/>
      <x:c r="AF5" s="14" t="str">
        <x:v>C/B</x:v>
      </x:c>
      <x:c r="AG5" s="14" t="str">
        <x:v>Promote only if additional Rydberg-array gate-control papers are found; affiliation should be checked from PDF/official page.</x:v>
      </x:c>
      <x:c r="AH5" s="53" t="b">
        <x:v>1</x:v>
      </x:c>
    </x:row>
    <x:row r="6">
      <x:c r="A6" s="14" t="str">
        <x:v>ARXIV-PI-0072</x:v>
      </x:c>
      <x:c r="B6" s="14" t="str">
        <x:v>Q-033</x:v>
      </x:c>
      <x:c r="C6" s="14" t="str">
        <x:v>arxiv v1.4 Rydberg technical hardware</x:v>
      </x:c>
      <x:c r="D6" s="14" t="str">
        <x:v>2409.11865</x:v>
      </x:c>
      <x:c r="E6" s="14" t="str">
        <x:v>v1</x:v>
      </x:c>
      <x:c r="F6" s="14" t="str">
        <x:v>Electric field control for experiments with atoms in Rydberg states</x:v>
      </x:c>
      <x:c r="G6" s="14" t="n">
        <x:v>2024</x:v>
      </x:c>
      <x:c r="H6" s="14" t="str">
        <x:v>2024-09-18</x:v>
      </x:c>
      <x:c r="I6" s="14"/>
      <x:c r="J6" s="14" t="str">
        <x:v>physics.atom-ph</x:v>
      </x:c>
      <x:c r="K6" s="14" t="str">
        <x:v>physics.atom-ph</x:v>
      </x:c>
      <x:c r="L6" s="14" t="str">
        <x:v>Rydberg states; stray electric field cancellation; glass cell; electrode assembly</x:v>
      </x:c>
      <x:c r="M6" s="14" t="str">
        <x:v>include</x:v>
      </x:c>
      <x:c r="N6" s="14" t="str">
        <x:v>Technical experimental paper directly relevant to Rydberg array hardware constraints and electric-field control.</x:v>
      </x:c>
      <x:c r="O6" s="14" t="str">
        <x:v>Qi-Yu Liang</x:v>
      </x:c>
      <x:c r="P6" s="14" t="str">
        <x:v>Qi-Yu Liang</x:v>
      </x:c>
      <x:c r="Q6" s="14" t="str">
        <x:v>yes</x:v>
      </x:c>
      <x:c r="R6" s="14" t="str">
        <x:v>Purdue University</x:v>
      </x:c>
      <x:c r="S6" s="14" t="str">
        <x:v>arxiv_html</x:v>
      </x:c>
      <x:c r="T6" s="14" t="str">
        <x:v>Purdue University</x:v>
      </x:c>
      <x:c r="U6" s="14"/>
      <x:c r="V6" s="14" t="str">
        <x:v>West Lafayette</x:v>
      </x:c>
      <x:c r="W6" s="14" t="str">
        <x:v>United States</x:v>
      </x:c>
      <x:c r="X6" s="14" t="n">
        <x:v>40.4237</x:v>
      </x:c>
      <x:c r="Y6" s="14" t="n">
        <x:v>-86.9212</x:v>
      </x:c>
      <x:c r="Z6" s="14"/>
      <x:c r="AA6" s="14" t="str">
        <x:v>new_candidate</x:v>
      </x:c>
      <x:c r="AB6" s="14"/>
      <x:c r="AC6" s="14" t="str">
        <x:v>https://arxiv.org/abs/2409.11865</x:v>
      </x:c>
      <x:c r="AD6" s="14" t="str">
        <x:v>https://arxiv.org/pdf/2409.11865</x:v>
      </x:c>
      <x:c r="AE6" s="14" t="str">
        <x:v>https://sites.google.com/view/qiyuliang</x:v>
      </x:c>
      <x:c r="AF6" s="14" t="str">
        <x:v>B/C</x:v>
      </x:c>
      <x:c r="AG6" s="14" t="str">
        <x:v>Technical node, not necessarily optical-tweezer-array processor; useful for Rydberg experimental infrastructure layer.</x:v>
      </x:c>
      <x:c r="AH6" s="53" t="b">
        <x:v>0</x:v>
      </x:c>
    </x:row>
    <x:row r="7">
      <x:c r="A7" s="14" t="str">
        <x:v>ARXIV-PI-0073</x:v>
      </x:c>
      <x:c r="B7" s="14" t="str">
        <x:v>Q-034</x:v>
      </x:c>
      <x:c r="C7" s="14" t="str">
        <x:v>arxiv v1.4 circular Rydberg tweezers</x:v>
      </x:c>
      <x:c r="D7" s="14" t="str">
        <x:v>2401.10625</x:v>
      </x:c>
      <x:c r="E7" s="14" t="str">
        <x:v>v2</x:v>
      </x:c>
      <x:c r="F7" s="14" t="str">
        <x:v>Long-Lived Circular Rydberg Qubits of Alkaline-Earth Atoms in Optical Tweezers</x:v>
      </x:c>
      <x:c r="G7" s="14" t="n">
        <x:v>2024</x:v>
      </x:c>
      <x:c r="H7" s="14" t="str">
        <x:v>2024-01-19</x:v>
      </x:c>
      <x:c r="I7" s="14" t="str">
        <x:v>2024-03-04</x:v>
      </x:c>
      <x:c r="J7" s="14" t="str">
        <x:v>physics.atom-ph</x:v>
      </x:c>
      <x:c r="K7" s="14" t="str">
        <x:v>physics.atom-ph; cond-mat.quant-gas; quant-ph</x:v>
      </x:c>
      <x:c r="L7" s="14" t="str">
        <x:v>circular Rydberg atoms; Sr; optical tweezers; alkaline-earth</x:v>
      </x:c>
      <x:c r="M7" s="14" t="str">
        <x:v>include</x:v>
      </x:c>
      <x:c r="N7" s="14" t="str">
        <x:v>Experimental paper directly demonstrating alkaline-earth circular Rydberg atoms in optical tweezers.</x:v>
      </x:c>
      <x:c r="O7" s="14" t="str">
        <x:v>Florian Meinert</x:v>
      </x:c>
      <x:c r="P7" s="14" t="str">
        <x:v>Florian Meinert</x:v>
      </x:c>
      <x:c r="Q7" s="14" t="str">
        <x:v>yes</x:v>
      </x:c>
      <x:c r="R7" s="14" t="str">
        <x:v>University of Stuttgart</x:v>
      </x:c>
      <x:c r="S7" s="14" t="str">
        <x:v>arxiv_abs + existing DB row</x:v>
      </x:c>
      <x:c r="T7" s="14" t="str">
        <x:v>University of Stuttgart</x:v>
      </x:c>
      <x:c r="U7" s="14"/>
      <x:c r="V7" s="14" t="str">
        <x:v>Stuttgart</x:v>
      </x:c>
      <x:c r="W7" s="14" t="str">
        <x:v>Germany</x:v>
      </x:c>
      <x:c r="X7" s="14" t="n">
        <x:v>48.7758</x:v>
      </x:c>
      <x:c r="Y7" s="14" t="n">
        <x:v>9.1829</x:v>
      </x:c>
      <x:c r="Z7" s="14" t="str">
        <x:v>E-011</x:v>
      </x:c>
      <x:c r="AA7" s="14" t="str">
        <x:v>matched</x:v>
      </x:c>
      <x:c r="AB7" s="14"/>
      <x:c r="AC7" s="14" t="str">
        <x:v>https://arxiv.org/abs/2401.10625</x:v>
      </x:c>
      <x:c r="AD7" s="14" t="str">
        <x:v>https://arxiv.org/pdf/2401.10625</x:v>
      </x:c>
      <x:c r="AE7" s="14"/>
      <x:c r="AF7" s="14" t="str">
        <x:v>A/B</x:v>
      </x:c>
      <x:c r="AG7" s="14" t="str">
        <x:v>Adds circular-Rydberg/alkaline-earth tweezer signal to the Stuttgart/QRydDemo ecosystem.</x:v>
      </x:c>
      <x:c r="AH7" s="53" t="b">
        <x:v>0</x:v>
      </x:c>
    </x:row>
    <x:row r="8">
      <x:c r="A8" s="14" t="str">
        <x:v>ARXIV-PI-0074</x:v>
      </x:c>
      <x:c r="B8" s="14" t="str">
        <x:v>Q-034</x:v>
      </x:c>
      <x:c r="C8" s="14" t="str">
        <x:v>arxiv v1.4 Rydberg molecules/tweezers</x:v>
      </x:c>
      <x:c r="D8" s="14" t="str">
        <x:v>2412.14888</x:v>
      </x:c>
      <x:c r="E8" s="14" t="str">
        <x:v>v2</x:v>
      </x:c>
      <x:c r="F8" s="14" t="str">
        <x:v>Individual assembly of two-species Rydberg molecules using optical tweezers</x:v>
      </x:c>
      <x:c r="G8" s="14" t="n">
        <x:v>2024</x:v>
      </x:c>
      <x:c r="H8" s="14" t="str">
        <x:v>2024-12-19</x:v>
      </x:c>
      <x:c r="I8" s="14" t="str">
        <x:v>2025-03-13</x:v>
      </x:c>
      <x:c r="J8" s="14" t="str">
        <x:v>physics.atom-ph</x:v>
      </x:c>
      <x:c r="K8" s="14" t="str">
        <x:v>physics.atom-ph; quant-ph</x:v>
      </x:c>
      <x:c r="L8" s="14" t="str">
        <x:v>Rydberg molecules; RbCs; optical tweezers; two-species assembly</x:v>
      </x:c>
      <x:c r="M8" s="14" t="str">
        <x:v>include_as_adjacent</x:v>
      </x:c>
      <x:c r="N8" s="14" t="str">
        <x:v>Adjacent but valuable: Rydberg molecules in optical tweezers, not standard atom-array quantum processor.</x:v>
      </x:c>
      <x:c r="O8" s="14" t="str">
        <x:v>Simon L. Cornish</x:v>
      </x:c>
      <x:c r="P8" s="14" t="str">
        <x:v>Simon Cornish</x:v>
      </x:c>
      <x:c r="Q8" s="14" t="str">
        <x:v>yes</x:v>
      </x:c>
      <x:c r="R8" s="14" t="str">
        <x:v>Durham University</x:v>
      </x:c>
      <x:c r="S8" s="14" t="str">
        <x:v>arxiv_abs + existing DB row</x:v>
      </x:c>
      <x:c r="T8" s="14" t="str">
        <x:v>Durham University</x:v>
      </x:c>
      <x:c r="U8" s="14"/>
      <x:c r="V8" s="14" t="str">
        <x:v>Durham</x:v>
      </x:c>
      <x:c r="W8" s="14" t="str">
        <x:v>United Kingdom</x:v>
      </x:c>
      <x:c r="X8" s="14" t="n">
        <x:v>54.7753</x:v>
      </x:c>
      <x:c r="Y8" s="14" t="n">
        <x:v>-1.5849</x:v>
      </x:c>
      <x:c r="Z8" s="14" t="str">
        <x:v>E-040</x:v>
      </x:c>
      <x:c r="AA8" s="14" t="str">
        <x:v>matched</x:v>
      </x:c>
      <x:c r="AB8" s="14"/>
      <x:c r="AC8" s="14" t="str">
        <x:v>https://arxiv.org/abs/2412.14888</x:v>
      </x:c>
      <x:c r="AD8" s="14" t="str">
        <x:v>https://arxiv.org/pdf/2412.14888</x:v>
      </x:c>
      <x:c r="AE8" s="14"/>
      <x:c r="AF8" s="14" t="str">
        <x:v>C</x:v>
      </x:c>
      <x:c r="AG8" s="14" t="str">
        <x:v>Keep adjacent; relevant if map includes Rydberg tweezer molecular platforms.</x:v>
      </x:c>
      <x:c r="AH8" s="53" t="b">
        <x:v>0</x:v>
      </x:c>
    </x:row>
    <x:row r="9">
      <x:c r="A9" s="14" t="str">
        <x:v>ARXIV-PI-0075</x:v>
      </x:c>
      <x:c r="B9" s="14" t="str">
        <x:v>Q-035</x:v>
      </x:c>
      <x:c r="C9" s="14" t="str">
        <x:v>arxiv v1.4 cooling/theory for tweezers</x:v>
      </x:c>
      <x:c r="D9" s="14" t="str">
        <x:v>2406.19153</x:v>
      </x:c>
      <x:c r="E9" s="14" t="str">
        <x:v>v3</x:v>
      </x:c>
      <x:c r="F9" s="14" t="str">
        <x:v>A Generalized Theory for Optical Cooling of a Trapped Atom with Spin</x:v>
      </x:c>
      <x:c r="G9" s="14" t="n">
        <x:v>2024</x:v>
      </x:c>
      <x:c r="H9" s="14" t="str">
        <x:v>2024-06-27</x:v>
      </x:c>
      <x:c r="I9" s="14" t="str">
        <x:v>2024-09-19</x:v>
      </x:c>
      <x:c r="J9" s="14" t="str">
        <x:v>physics.atom-ph</x:v>
      </x:c>
      <x:c r="K9" s="14" t="str">
        <x:v>physics.atom-ph; quant-ph</x:v>
      </x:c>
      <x:c r="L9" s="14" t="str">
        <x:v>optical cooling; trapped atom with spin; neutral atom tweezers; Rydberg/molecular gates</x:v>
      </x:c>
      <x:c r="M9" s="14" t="str">
        <x:v>include_as_adjacent</x:v>
      </x:c>
      <x:c r="N9" s="14" t="str">
        <x:v>Cooling theory for neutral-atom tweezers; relevant as enabling layer for Rydberg and molecular gates.</x:v>
      </x:c>
      <x:c r="O9" s="14" t="str">
        <x:v>Jonathan D. Hood</x:v>
      </x:c>
      <x:c r="P9" s="14" t="str">
        <x:v>Jonathan D. Hood</x:v>
      </x:c>
      <x:c r="Q9" s="14" t="str">
        <x:v>yes</x:v>
      </x:c>
      <x:c r="R9" s="14" t="str">
        <x:v>Purdue University (needs confirmation)</x:v>
      </x:c>
      <x:c r="S9" s="14" t="str">
        <x:v>arxiv_abs + APS</x:v>
      </x:c>
      <x:c r="T9" s="14" t="str">
        <x:v>Purdue University</x:v>
      </x:c>
      <x:c r="U9" s="14"/>
      <x:c r="V9" s="14" t="str">
        <x:v>West Lafayette</x:v>
      </x:c>
      <x:c r="W9" s="14" t="str">
        <x:v>United States</x:v>
      </x:c>
      <x:c r="X9" s="14" t="n">
        <x:v>40.4237</x:v>
      </x:c>
      <x:c r="Y9" s="14" t="n">
        <x:v>-86.9212</x:v>
      </x:c>
      <x:c r="Z9" s="14"/>
      <x:c r="AA9" s="14" t="str">
        <x:v>new_candidate</x:v>
      </x:c>
      <x:c r="AB9" s="14"/>
      <x:c r="AC9" s="14" t="str">
        <x:v>https://arxiv.org/abs/2406.19153</x:v>
      </x:c>
      <x:c r="AD9" s="14" t="str">
        <x:v>https://arxiv.org/pdf/2406.19153</x:v>
      </x:c>
      <x:c r="AE9" s="14"/>
      <x:c r="AF9" s="14" t="str">
        <x:v>C/B</x:v>
      </x:c>
      <x:c r="AG9" s="14" t="str">
        <x:v>Candidate enabling-theory/technical node; not core Rydberg array by itself.</x:v>
      </x:c>
      <x:c r="AH9" s="53" t="b">
        <x:v>1</x:v>
      </x:c>
    </x:row>
    <x:row r="10">
      <x:c r="A10" s="14" t="str">
        <x:v>ARXIV-PI-0076</x:v>
      </x:c>
      <x:c r="B10" s="14" t="str">
        <x:v>Q-036</x:v>
      </x:c>
      <x:c r="C10" s="14" t="str">
        <x:v>arxiv v1.4 molecular dynamics theory</x:v>
      </x:c>
      <x:c r="D10" s="14" t="str">
        <x:v>2506.09865</x:v>
      </x:c>
      <x:c r="E10" s="14" t="str">
        <x:v>v1</x:v>
      </x:c>
      <x:c r="F10" s="14" t="str">
        <x:v>Rydberg atom arrays as quantum simulators for molecular dynamics</x:v>
      </x:c>
      <x:c r="G10" s="14" t="n">
        <x:v>2025</x:v>
      </x:c>
      <x:c r="H10" s="14" t="str">
        <x:v>2025-06-11</x:v>
      </x:c>
      <x:c r="I10" s="14"/>
      <x:c r="J10" s="14" t="str">
        <x:v>quant-ph</x:v>
      </x:c>
      <x:c r="K10" s="14" t="str">
        <x:v>quant-ph</x:v>
      </x:c>
      <x:c r="L10" s="14" t="str">
        <x:v>Rydberg atom arrays; optical tweezer arrays; molecular dynamics; vibronic simulation</x:v>
      </x:c>
      <x:c r="M10" s="14" t="str">
        <x:v>include</x:v>
      </x:c>
      <x:c r="N10" s="14" t="str">
        <x:v>Theory/application paper explicitly mapping Rydberg tweezer arrays to molecular dynamics simulation.</x:v>
      </x:c>
      <x:c r="O10" s="14" t="str">
        <x:v>Igor Lesanovsky</x:v>
      </x:c>
      <x:c r="P10" s="14" t="str">
        <x:v>Igor Lesanovsky</x:v>
      </x:c>
      <x:c r="Q10" s="14" t="str">
        <x:v>yes</x:v>
      </x:c>
      <x:c r="R10" s="14" t="str">
        <x:v>University of Tübingen</x:v>
      </x:c>
      <x:c r="S10" s="14" t="str">
        <x:v>arxiv_abs + existing DB row</x:v>
      </x:c>
      <x:c r="T10" s="14" t="str">
        <x:v>University of Tübingen</x:v>
      </x:c>
      <x:c r="U10" s="14"/>
      <x:c r="V10" s="14" t="str">
        <x:v>Tübingen</x:v>
      </x:c>
      <x:c r="W10" s="14" t="str">
        <x:v>Germany</x:v>
      </x:c>
      <x:c r="X10" s="14" t="n">
        <x:v>48.5216</x:v>
      </x:c>
      <x:c r="Y10" s="14" t="n">
        <x:v>9.0576</x:v>
      </x:c>
      <x:c r="Z10" s="14" t="str">
        <x:v>E-017</x:v>
      </x:c>
      <x:c r="AA10" s="14" t="str">
        <x:v>matched</x:v>
      </x:c>
      <x:c r="AB10" s="14"/>
      <x:c r="AC10" s="14" t="str">
        <x:v>https://arxiv.org/abs/2506.09865</x:v>
      </x:c>
      <x:c r="AD10" s="14" t="str">
        <x:v>https://arxiv.org/pdf/2506.09865</x:v>
      </x:c>
      <x:c r="AE10" s="14"/>
      <x:c r="AF10" s="14" t="str">
        <x:v>B</x:v>
      </x:c>
      <x:c r="AG10" s="14" t="str">
        <x:v>Update existing Lesanovsky node; this is exactly the kind of theory/application layer the map should include.</x:v>
      </x:c>
      <x:c r="AH10" s="53" t="b">
        <x:v>0</x:v>
      </x:c>
    </x:row>
    <x:row r="11">
      <x:c r="A11" s="14" t="str">
        <x:v>ARXIV-PI-0077</x:v>
      </x:c>
      <x:c r="B11" s="14" t="str">
        <x:v>Q-037</x:v>
      </x:c>
      <x:c r="C11" s="14" t="str">
        <x:v>arxiv v1.4 spin-motion theory</x:v>
      </x:c>
      <x:c r="D11" s="14" t="str">
        <x:v>2506.22669</x:v>
      </x:c>
      <x:c r="E11" s="14" t="str">
        <x:v>v1</x:v>
      </x:c>
      <x:c r="F11" s="14" t="str">
        <x:v>Lamb-Dicke Dynamics of Interacting Rydberg Atoms Coupled to the Motion of an Optical Tweezer Array</x:v>
      </x:c>
      <x:c r="G11" s="14" t="n">
        <x:v>2025</x:v>
      </x:c>
      <x:c r="H11" s="14" t="str">
        <x:v>2025-06-27</x:v>
      </x:c>
      <x:c r="I11" s="14"/>
      <x:c r="J11" s="14" t="str">
        <x:v>quant-ph</x:v>
      </x:c>
      <x:c r="K11" s="14" t="str">
        <x:v>quant-ph; physics.atom-ph</x:v>
      </x:c>
      <x:c r="L11" s="14" t="str">
        <x:v>Rydberg atoms; optical tweezer array; motion; Lamb-Dicke dynamics</x:v>
      </x:c>
      <x:c r="M11" s="14" t="str">
        <x:v>include</x:v>
      </x:c>
      <x:c r="N11" s="14" t="str">
        <x:v>Theory paper directly about motional dynamics of interacting Rydberg atoms in optical tweezer arrays.</x:v>
      </x:c>
      <x:c r="O11" s="14" t="str">
        <x:v>Ludwig Mathey</x:v>
      </x:c>
      <x:c r="P11" s="14" t="str">
        <x:v>Ludwig Mathey</x:v>
      </x:c>
      <x:c r="Q11" s="14" t="str">
        <x:v>yes</x:v>
      </x:c>
      <x:c r="R11" s="14" t="str">
        <x:v>University of Hamburg</x:v>
      </x:c>
      <x:c r="S11" s="14" t="str">
        <x:v>arxiv_abs + official page search</x:v>
      </x:c>
      <x:c r="T11" s="14" t="str">
        <x:v>University of Hamburg</x:v>
      </x:c>
      <x:c r="U11" s="14"/>
      <x:c r="V11" s="14" t="str">
        <x:v>Hamburg</x:v>
      </x:c>
      <x:c r="W11" s="14" t="str">
        <x:v>Germany</x:v>
      </x:c>
      <x:c r="X11" s="14" t="n">
        <x:v>53.5511</x:v>
      </x:c>
      <x:c r="Y11" s="14" t="n">
        <x:v>9.9937</x:v>
      </x:c>
      <x:c r="Z11" s="14"/>
      <x:c r="AA11" s="14" t="str">
        <x:v>new_candidate</x:v>
      </x:c>
      <x:c r="AB11" s="14"/>
      <x:c r="AC11" s="14" t="str">
        <x:v>https://arxiv.org/abs/2506.22669</x:v>
      </x:c>
      <x:c r="AD11" s="14" t="str">
        <x:v>https://arxiv.org/pdf/2506.22669</x:v>
      </x:c>
      <x:c r="AE11" s="14" t="str">
        <x:v>https://www.physik.uni-hamburg.de/en/iqp/mathey.html</x:v>
      </x:c>
      <x:c r="AF11" s="14" t="str">
        <x:v>B/C</x:v>
      </x:c>
      <x:c r="AG11" s="14" t="str">
        <x:v>Good theory candidate for spin-motion / finite-temperature / motional-error layer.</x:v>
      </x:c>
      <x:c r="AH11" s="53" t="b">
        <x:v>0</x:v>
      </x:c>
    </x:row>
    <x:row r="12">
      <x:c r="A12" s="14" t="str">
        <x:v>ARXIV-PI-0078</x:v>
      </x:c>
      <x:c r="B12" s="14" t="str">
        <x:v>Q-038</x:v>
      </x:c>
      <x:c r="C12" s="14" t="str">
        <x:v>arxiv v1.4 Rydberg fractal experiment/theory</x:v>
      </x:c>
      <x:c r="D12" s="14" t="str">
        <x:v>2509.03514</x:v>
      </x:c>
      <x:c r="E12" s="14" t="str">
        <x:v>v1</x:v>
      </x:c>
      <x:c r="F12" s="14" t="str">
        <x:v>Control of single spin-flips in a Rydberg atomic fractal</x:v>
      </x:c>
      <x:c r="G12" s="14" t="n">
        <x:v>2025</x:v>
      </x:c>
      <x:c r="H12" s="14" t="str">
        <x:v>2025-09-03</x:v>
      </x:c>
      <x:c r="I12" s="14"/>
      <x:c r="J12" s="14" t="str">
        <x:v>cond-mat.quant-gas</x:v>
      </x:c>
      <x:c r="K12" s="14" t="str">
        <x:v>cond-mat.quant-gas; cond-mat.dis-nn; quant-ph</x:v>
      </x:c>
      <x:c r="L12" s="14" t="str">
        <x:v>Rydberg atoms; optical tweezers; fractal geometry; Sr experiments</x:v>
      </x:c>
      <x:c r="M12" s="14" t="str">
        <x:v>include</x:v>
      </x:c>
      <x:c r="N12" s="14" t="str">
        <x:v>Mixed experimental/theory paper with single Sr atoms in optical tweezers arranged in fractal geometry.</x:v>
      </x:c>
      <x:c r="O12" s="14" t="str">
        <x:v>Cristiane Morais Smith</x:v>
      </x:c>
      <x:c r="P12" s="14" t="str">
        <x:v>Cristiane Morais Smith</x:v>
      </x:c>
      <x:c r="Q12" s="14" t="str">
        <x:v>yes</x:v>
      </x:c>
      <x:c r="R12" s="14" t="str">
        <x:v>Utrecht University</x:v>
      </x:c>
      <x:c r="S12" s="14" t="str">
        <x:v>arxiv_abs + official publication page</x:v>
      </x:c>
      <x:c r="T12" s="14" t="str">
        <x:v>Utrecht University</x:v>
      </x:c>
      <x:c r="U12" s="14"/>
      <x:c r="V12" s="14" t="str">
        <x:v>Utrecht</x:v>
      </x:c>
      <x:c r="W12" s="14" t="str">
        <x:v>Netherlands</x:v>
      </x:c>
      <x:c r="X12" s="14" t="n">
        <x:v>52.0907</x:v>
      </x:c>
      <x:c r="Y12" s="14" t="n">
        <x:v>5.1214</x:v>
      </x:c>
      <x:c r="Z12" s="14"/>
      <x:c r="AA12" s="14" t="str">
        <x:v>new_candidate</x:v>
      </x:c>
      <x:c r="AB12" s="14"/>
      <x:c r="AC12" s="14" t="str">
        <x:v>https://arxiv.org/abs/2509.03514</x:v>
      </x:c>
      <x:c r="AD12" s="14" t="str">
        <x:v>https://arxiv.org/pdf/2509.03514</x:v>
      </x:c>
      <x:c r="AE12" s="14" t="str">
        <x:v>https://www.uu.nl/staff/CdeMoraisSmith/Publications</x:v>
      </x:c>
      <x:c r="AF12" s="14" t="str">
        <x:v>B/C</x:v>
      </x:c>
      <x:c r="AG12" s="14" t="str">
        <x:v>Interesting mixed theory/experiment signal; needs disambiguation with Schreck/Spreeuw experimental Sr platform.</x:v>
      </x:c>
      <x:c r="AH12" s="53" t="b">
        <x:v>1</x:v>
      </x:c>
    </x:row>
    <x:row r="13">
      <x:c r="A13" s="14" t="str">
        <x:v>ARXIV-PI-0079</x:v>
      </x:c>
      <x:c r="B13" s="14" t="str">
        <x:v>Q-039</x:v>
      </x:c>
      <x:c r="C13" s="14" t="str">
        <x:v>arxiv v1.4 disorder theory</x:v>
      </x:c>
      <x:c r="D13" s="14" t="str">
        <x:v>2506.11985</x:v>
      </x:c>
      <x:c r="E13" s="14" t="str">
        <x:v>v3</x:v>
      </x:c>
      <x:c r="F13" s="14" t="str">
        <x:v>Infinite randomness criticality and localization of the floating phase in arrays of Rydberg atoms trapped with non-perfect tweezers</x:v>
      </x:c>
      <x:c r="G13" s="14" t="n">
        <x:v>2025</x:v>
      </x:c>
      <x:c r="H13" s="14" t="str">
        <x:v>2025-06-13</x:v>
      </x:c>
      <x:c r="I13" s="14" t="str">
        <x:v>2026-04-18</x:v>
      </x:c>
      <x:c r="J13" s="14" t="str">
        <x:v>cond-mat.str-el</x:v>
      </x:c>
      <x:c r="K13" s="14" t="str">
        <x:v>cond-mat.str-el</x:v>
      </x:c>
      <x:c r="L13" s="14" t="str">
        <x:v>Rydberg atoms; non-perfect tweezers; disorder; criticality; theory</x:v>
      </x:c>
      <x:c r="M13" s="14" t="str">
        <x:v>include</x:v>
      </x:c>
      <x:c r="N13" s="14" t="str">
        <x:v>Theory paper directly motivated by realistic optical-tweezer imperfections in Rydberg arrays.</x:v>
      </x:c>
      <x:c r="O13" s="14" t="str">
        <x:v>Natalia Chepiga</x:v>
      </x:c>
      <x:c r="P13" s="14" t="str">
        <x:v>Natalia Chepiga</x:v>
      </x:c>
      <x:c r="Q13" s="14" t="str">
        <x:v>yes</x:v>
      </x:c>
      <x:c r="R13" s="14" t="str">
        <x:v>Delft University of Technology</x:v>
      </x:c>
      <x:c r="S13" s="14" t="str">
        <x:v>arxiv_abs + TU Delft publication/CV</x:v>
      </x:c>
      <x:c r="T13" s="14" t="str">
        <x:v>Delft University of Technology</x:v>
      </x:c>
      <x:c r="U13" s="14"/>
      <x:c r="V13" s="14" t="str">
        <x:v>Delft</x:v>
      </x:c>
      <x:c r="W13" s="14" t="str">
        <x:v>Netherlands</x:v>
      </x:c>
      <x:c r="X13" s="14" t="n">
        <x:v>52.0116</x:v>
      </x:c>
      <x:c r="Y13" s="14" t="n">
        <x:v>4.3571</x:v>
      </x:c>
      <x:c r="Z13" s="14"/>
      <x:c r="AA13" s="14" t="str">
        <x:v>new_candidate</x:v>
      </x:c>
      <x:c r="AB13" s="14"/>
      <x:c r="AC13" s="14" t="str">
        <x:v>https://arxiv.org/abs/2506.11985</x:v>
      </x:c>
      <x:c r="AD13" s="14" t="str">
        <x:v>https://arxiv.org/pdf/2506.11985</x:v>
      </x:c>
      <x:c r="AE13" s="14" t="str">
        <x:v>https://research.tudelft.nl/en/publications/infinite-randomness-criticality-and-localization-of-the-floating-/</x:v>
      </x:c>
      <x:c r="AF13" s="14" t="str">
        <x:v>B</x:v>
      </x:c>
      <x:c r="AG13" s="14" t="str">
        <x:v>Strong theory candidate for imperfections/disorder in Rydberg tweezer simulators.</x:v>
      </x:c>
      <x:c r="AH13" s="53" t="b">
        <x:v>0</x:v>
      </x:c>
    </x:row>
    <x:row r="14">
      <x:c r="A14" s="14" t="str">
        <x:v>ARXIV-PI-0080</x:v>
      </x:c>
      <x:c r="B14" s="14" t="str">
        <x:v>Q-040</x:v>
      </x:c>
      <x:c r="C14" s="14" t="str">
        <x:v>arxiv v1.4 spin-motion experiment</x:v>
      </x:c>
      <x:c r="D14" s="14" t="str">
        <x:v>2508.08899</x:v>
      </x:c>
      <x:c r="E14" s="14" t="str">
        <x:v>v2</x:v>
      </x:c>
      <x:c r="F14" s="14" t="str">
        <x:v>Probing spin-motion coupling of two Rydberg atoms by a Stern-Gerlach-like experiment</x:v>
      </x:c>
      <x:c r="G14" s="14" t="n">
        <x:v>2025</x:v>
      </x:c>
      <x:c r="H14" s="14" t="str">
        <x:v>2025-08-12</x:v>
      </x:c>
      <x:c r="I14" s="14" t="str">
        <x:v>2025-11-08</x:v>
      </x:c>
      <x:c r="J14" s="14" t="str">
        <x:v>physics.atom-ph</x:v>
      </x:c>
      <x:c r="K14" s="14" t="str">
        <x:v>physics.atom-ph; physics.chem-ph; quant-ph</x:v>
      </x:c>
      <x:c r="L14" s="14" t="str">
        <x:v>Rydberg atoms; optical tweezers; spin-motion coupling; macrodimer</x:v>
      </x:c>
      <x:c r="M14" s="14" t="str">
        <x:v>include</x:v>
      </x:c>
      <x:c r="N14" s="14" t="str">
        <x:v>Experimental paper from the Palaiseau/Institut d'Optique ecosystem measuring spin-motion coupling in a 1D tweezer array.</x:v>
      </x:c>
      <x:c r="O14" s="14" t="str">
        <x:v>Antoine Browaeys</x:v>
      </x:c>
      <x:c r="P14" s="14" t="str">
        <x:v>Antoine Browaeys</x:v>
      </x:c>
      <x:c r="Q14" s="14" t="str">
        <x:v>yes</x:v>
      </x:c>
      <x:c r="R14" s="14" t="str">
        <x:v>Institut d'Optique Graduate School / Laboratoire Charles Fabry</x:v>
      </x:c>
      <x:c r="S14" s="14" t="str">
        <x:v>arxiv_abs + existing DB row</x:v>
      </x:c>
      <x:c r="T14" s="14" t="str">
        <x:v>Institut d'Optique Graduate School / Laboratoire Charles Fabry</x:v>
      </x:c>
      <x:c r="U14" s="14"/>
      <x:c r="V14" s="14" t="str">
        <x:v>Palaiseau</x:v>
      </x:c>
      <x:c r="W14" s="14" t="str">
        <x:v>France</x:v>
      </x:c>
      <x:c r="X14" s="14" t="n">
        <x:v>48.713</x:v>
      </x:c>
      <x:c r="Y14" s="14" t="n">
        <x:v>2.207</x:v>
      </x:c>
      <x:c r="Z14" s="14" t="str">
        <x:v>E-002</x:v>
      </x:c>
      <x:c r="AA14" s="14" t="str">
        <x:v>matched</x:v>
      </x:c>
      <x:c r="AB14" s="14"/>
      <x:c r="AC14" s="14" t="str">
        <x:v>https://arxiv.org/abs/2508.08899</x:v>
      </x:c>
      <x:c r="AD14" s="14" t="str">
        <x:v>https://arxiv.org/pdf/2508.08899</x:v>
      </x:c>
      <x:c r="AE14" s="14"/>
      <x:c r="AF14" s="14" t="str">
        <x:v>A</x:v>
      </x:c>
      <x:c r="AG14" s="14" t="str">
        <x:v>Adds spin-motion/Rydberg molecular-dynamics signal to existing IOGS node.</x:v>
      </x:c>
      <x:c r="AH14" s="53" t="b">
        <x:v>0</x:v>
      </x:c>
    </x:row>
    <x:row r="15">
      <x:c r="A15" s="14" t="str">
        <x:v>ARXIV-PI-0081</x:v>
      </x:c>
      <x:c r="B15" s="14" t="str">
        <x:v>Q-041</x:v>
      </x:c>
      <x:c r="C15" s="14" t="str">
        <x:v>arxiv v1.4 spin-phonon theory</x:v>
      </x:c>
      <x:c r="D15" s="14" t="str">
        <x:v>2507.16751</x:v>
      </x:c>
      <x:c r="E15" s="14" t="str">
        <x:v>v1</x:v>
      </x:c>
      <x:c r="F15" s="14" t="str">
        <x:v>Many-Body Physics from Spin-Phonon Coupling in Rydberg Atom Arrays</x:v>
      </x:c>
      <x:c r="G15" s="14" t="n">
        <x:v>2025</x:v>
      </x:c>
      <x:c r="H15" s="14" t="str">
        <x:v>2025-07-22</x:v>
      </x:c>
      <x:c r="I15" s="14"/>
      <x:c r="J15" s="14" t="str">
        <x:v>cond-mat.quant-gas</x:v>
      </x:c>
      <x:c r="K15" s="14" t="str">
        <x:v>cond-mat.quant-gas; quant-ph</x:v>
      </x:c>
      <x:c r="L15" s="14" t="str">
        <x:v>Rydberg atom arrays; spin-phonon coupling; optical tweezers; many-body theory</x:v>
      </x:c>
      <x:c r="M15" s="14" t="str">
        <x:v>include</x:v>
      </x:c>
      <x:c r="N15" s="14" t="str">
        <x:v>Theory paper on spin-phonon coupling in Rydberg atom arrays; relevant to motional-effects layer.</x:v>
      </x:c>
      <x:c r="O15" s="14" t="str">
        <x:v>Pengfei Zhang</x:v>
      </x:c>
      <x:c r="P15" s="14" t="str">
        <x:v>Pengfei Zhang</x:v>
      </x:c>
      <x:c r="Q15" s="14" t="str">
        <x:v>yes</x:v>
      </x:c>
      <x:c r="R15" s="14" t="str">
        <x:v>Fudan University</x:v>
      </x:c>
      <x:c r="S15" s="14" t="str">
        <x:v>arxiv_abs + existing DB row</x:v>
      </x:c>
      <x:c r="T15" s="14" t="str">
        <x:v>Fudan University</x:v>
      </x:c>
      <x:c r="U15" s="14"/>
      <x:c r="V15" s="14" t="str">
        <x:v>Shanghai</x:v>
      </x:c>
      <x:c r="W15" s="14" t="str">
        <x:v>China</x:v>
      </x:c>
      <x:c r="X15" s="14" t="n">
        <x:v>31.2304</x:v>
      </x:c>
      <x:c r="Y15" s="14" t="n">
        <x:v>121.4737</x:v>
      </x:c>
      <x:c r="Z15" s="14" t="str">
        <x:v>E-049</x:v>
      </x:c>
      <x:c r="AA15" s="14" t="str">
        <x:v>matched</x:v>
      </x:c>
      <x:c r="AB15" s="14"/>
      <x:c r="AC15" s="14" t="str">
        <x:v>https://arxiv.org/abs/2507.16751</x:v>
      </x:c>
      <x:c r="AD15" s="14" t="str">
        <x:v>https://arxiv.org/pdf/2507.16751</x:v>
      </x:c>
      <x:c r="AE15" s="14"/>
      <x:c r="AF15" s="14" t="str">
        <x:v>B</x:v>
      </x:c>
      <x:c r="AG15" s="14" t="str">
        <x:v>Updates existing Pengfei Zhang theory node.</x:v>
      </x:c>
      <x:c r="AH15" s="53" t="b">
        <x:v>0</x:v>
      </x:c>
    </x:row>
    <x:row r="16">
      <x:c r="A16" s="14" t="str">
        <x:v>ARXIV-PI-0082</x:v>
      </x:c>
      <x:c r="B16" s="14" t="str">
        <x:v>Q-042</x:v>
      </x:c>
      <x:c r="C16" s="14" t="str">
        <x:v>arxiv v1.4 amorphous arrays theory</x:v>
      </x:c>
      <x:c r="D16" s="14" t="str">
        <x:v>2505.05117</x:v>
      </x:c>
      <x:c r="E16" s="14" t="str">
        <x:v>v1</x:v>
      </x:c>
      <x:c r="F16" s="14" t="str">
        <x:v>Spin-glass quantum phase transition in amorphous arrays of Rydberg atoms</x:v>
      </x:c>
      <x:c r="G16" s="14" t="n">
        <x:v>2025</x:v>
      </x:c>
      <x:c r="H16" s="14" t="str">
        <x:v>2025-05-08</x:v>
      </x:c>
      <x:c r="I16" s="14"/>
      <x:c r="J16" s="14" t="str">
        <x:v>cond-mat.dis-nn</x:v>
      </x:c>
      <x:c r="K16" s="14" t="str">
        <x:v>cond-mat.dis-nn; cond-mat.stat-mech</x:v>
      </x:c>
      <x:c r="L16" s="14" t="str">
        <x:v>Rydberg atoms; optical tweezers; amorphous arrays; spin glass; QMC</x:v>
      </x:c>
      <x:c r="M16" s="14" t="str">
        <x:v>include</x:v>
      </x:c>
      <x:c r="N16" s="14" t="str">
        <x:v>Theory paper explicitly motivated by neutral atoms in optical tweezers coupled to Rydberg states.</x:v>
      </x:c>
      <x:c r="O16" s="14" t="str">
        <x:v>S. Pilati</x:v>
      </x:c>
      <x:c r="P16" s="14" t="str">
        <x:v>Stefano Pilati</x:v>
      </x:c>
      <x:c r="Q16" s="14" t="str">
        <x:v>yes</x:v>
      </x:c>
      <x:c r="R16" s="14" t="str">
        <x:v>University of Camerino (needs confirmation)</x:v>
      </x:c>
      <x:c r="S16" s="14" t="str">
        <x:v>arxiv_abs_only</x:v>
      </x:c>
      <x:c r="T16" s="14" t="str">
        <x:v>Institution pending</x:v>
      </x:c>
      <x:c r="U16" s="14"/>
      <x:c r="V16" s="14"/>
      <x:c r="W16" s="14"/>
      <x:c r="X16" s="14"/>
      <x:c r="Y16" s="14"/>
      <x:c r="Z16" s="14"/>
      <x:c r="AA16" s="14" t="str">
        <x:v>new_candidate</x:v>
      </x:c>
      <x:c r="AB16" s="14"/>
      <x:c r="AC16" s="14" t="str">
        <x:v>https://arxiv.org/abs/2505.05117</x:v>
      </x:c>
      <x:c r="AD16" s="14" t="str">
        <x:v>https://arxiv.org/pdf/2505.05117</x:v>
      </x:c>
      <x:c r="AE16" s="14"/>
      <x:c r="AF16" s="14" t="str">
        <x:v>C/B</x:v>
      </x:c>
      <x:c r="AG16" s="14" t="str">
        <x:v>Potential theory candidate; affiliation/source cleanup needed before aggregate promotion.</x:v>
      </x:c>
      <x:c r="AH16" s="53" t="b">
        <x:v>1</x:v>
      </x:c>
    </x:row>
    <x:row r="17">
      <x:c r="A17" s="14" t="str">
        <x:v>ARXIV-PI-0083</x:v>
      </x:c>
      <x:c r="B17" s="14" t="str">
        <x:v>Q-043</x:v>
      </x:c>
      <x:c r="C17" s="14" t="str">
        <x:v>arxiv v1.4 cavity/tweezer interface</x:v>
      </x:c>
      <x:c r="D17" s="14" t="str">
        <x:v>2502.13560</x:v>
      </x:c>
      <x:c r="E17" s="14" t="str">
        <x:v>v1</x:v>
      </x:c>
      <x:c r="F17" s="14" t="str">
        <x:v>Tweezer-assisted subwavelength positioning of atomic arrays in an optical cavity</x:v>
      </x:c>
      <x:c r="G17" s="14" t="n">
        <x:v>2025</x:v>
      </x:c>
      <x:c r="H17" s="14" t="str">
        <x:v>2025-02-19</x:v>
      </x:c>
      <x:c r="I17" s="14"/>
      <x:c r="J17" s="14" t="str">
        <x:v>quant-ph</x:v>
      </x:c>
      <x:c r="K17" s="14" t="str">
        <x:v>quant-ph</x:v>
      </x:c>
      <x:c r="L17" s="14" t="str">
        <x:v>optical tweezers; cavity QED; atom arrays; subwavelength positioning</x:v>
      </x:c>
      <x:c r="M17" s="14" t="str">
        <x:v>include_as_adjacent</x:v>
      </x:c>
      <x:c r="N17" s="14" t="str">
        <x:v>Adjacent interface paper: tweezer-assisted atom arrays in optical cavity; Rydberg not central.</x:v>
      </x:c>
      <x:c r="O17" s="14" t="str">
        <x:v>Emanuele Distante</x:v>
      </x:c>
      <x:c r="P17" s="14" t="str">
        <x:v>Emanuele Distante</x:v>
      </x:c>
      <x:c r="Q17" s="14" t="str">
        <x:v>yes</x:v>
      </x:c>
      <x:c r="R17" s="14" t="str">
        <x:v>Max Planck Institute of Quantum Optics (needs confirmation)</x:v>
      </x:c>
      <x:c r="S17" s="14" t="str">
        <x:v>arxiv_abs + MPG record</x:v>
      </x:c>
      <x:c r="T17" s="14" t="str">
        <x:v>Max Planck Institute of Quantum Optics</x:v>
      </x:c>
      <x:c r="U17" s="14"/>
      <x:c r="V17" s="14" t="str">
        <x:v>Garching</x:v>
      </x:c>
      <x:c r="W17" s="14" t="str">
        <x:v>Germany</x:v>
      </x:c>
      <x:c r="X17" s="14" t="n">
        <x:v>48.2489</x:v>
      </x:c>
      <x:c r="Y17" s="14" t="n">
        <x:v>11.651</x:v>
      </x:c>
      <x:c r="Z17" s="14"/>
      <x:c r="AA17" s="14" t="str">
        <x:v>new_candidate</x:v>
      </x:c>
      <x:c r="AB17" s="14"/>
      <x:c r="AC17" s="14" t="str">
        <x:v>https://arxiv.org/abs/2502.13560</x:v>
      </x:c>
      <x:c r="AD17" s="14" t="str">
        <x:v>https://arxiv.org/pdf/2502.13560</x:v>
      </x:c>
      <x:c r="AE17" s="14" t="str">
        <x:v>https://pure.mpg.de/pubman/faces/ViewItemFullPage.jsp?itemId=item_3639328_1&amp;view=EXPORT</x:v>
      </x:c>
      <x:c r="AF17" s="14" t="str">
        <x:v>C</x:v>
      </x:c>
      <x:c r="AG17" s="14" t="str">
        <x:v>Keep adjacent unless the map grows into cavity/interconnect interfaces for neutral-atom arrays.</x:v>
      </x:c>
      <x:c r="AH17" s="53" t="b">
        <x:v>1</x:v>
      </x:c>
    </x:row>
    <x:row r="18">
      <x:c r="A18" s="14" t="str">
        <x:v>ARXIV-PI-0084</x:v>
      </x:c>
      <x:c r="B18" s="14" t="str">
        <x:v>Q-034</x:v>
      </x:c>
      <x:c r="C18" s="14" t="str">
        <x:v>arxiv v1.4 circular Rydberg interactions</x:v>
      </x:c>
      <x:c r="D18" s="14" t="str">
        <x:v>2407.04109</x:v>
      </x:c>
      <x:c r="E18" s="14" t="str">
        <x:v>v1</x:v>
      </x:c>
      <x:c r="F18" s="14" t="str">
        <x:v>Interacting Circular Rydberg Atoms Trapped in Optical Tweezers</x:v>
      </x:c>
      <x:c r="G18" s="14" t="n">
        <x:v>2024</x:v>
      </x:c>
      <x:c r="H18" s="14" t="str">
        <x:v>2024-07-04</x:v>
      </x:c>
      <x:c r="I18" s="14"/>
      <x:c r="J18" s="14" t="str">
        <x:v>physics.atom-ph</x:v>
      </x:c>
      <x:c r="K18" s="14" t="str">
        <x:v>physics.atom-ph; quant-ph</x:v>
      </x:c>
      <x:c r="L18" s="14" t="str">
        <x:v>circular Rydberg atoms; optical tweezers; dipole-dipole interactions</x:v>
      </x:c>
      <x:c r="M18" s="14" t="str">
        <x:v>include_as_adjacent</x:v>
      </x:c>
      <x:c r="N18" s="14" t="str">
        <x:v>Experimental circular Rydberg tweezer paper; adjacent to mainstream low-l Rydberg tweezer arrays.</x:v>
      </x:c>
      <x:c r="O18" s="14" t="str">
        <x:v>Michel Brune</x:v>
      </x:c>
      <x:c r="P18" s="14" t="str">
        <x:v>Michel Brune</x:v>
      </x:c>
      <x:c r="Q18" s="14" t="str">
        <x:v>yes</x:v>
      </x:c>
      <x:c r="R18" s="14" t="str">
        <x:v>Laboratoire Kastler Brossel / ENS-PSL / Sorbonne / Collège de France</x:v>
      </x:c>
      <x:c r="S18" s="14" t="str">
        <x:v>arxiv_abs + existing DB row</x:v>
      </x:c>
      <x:c r="T18" s="14" t="str">
        <x:v>Laboratoire Kastler Brossel / ENS-PSL / Sorbonne / Collège de France</x:v>
      </x:c>
      <x:c r="U18" s="14"/>
      <x:c r="V18" s="14" t="str">
        <x:v>Paris</x:v>
      </x:c>
      <x:c r="W18" s="14" t="str">
        <x:v>France</x:v>
      </x:c>
      <x:c r="X18" s="14" t="n">
        <x:v>48.8566</x:v>
      </x:c>
      <x:c r="Y18" s="14" t="n">
        <x:v>2.3522</x:v>
      </x:c>
      <x:c r="Z18" s="14" t="str">
        <x:v>E-012</x:v>
      </x:c>
      <x:c r="AA18" s="14" t="str">
        <x:v>matched</x:v>
      </x:c>
      <x:c r="AB18" s="14"/>
      <x:c r="AC18" s="14" t="str">
        <x:v>https://arxiv.org/abs/2407.04109</x:v>
      </x:c>
      <x:c r="AD18" s="14" t="str">
        <x:v>https://arxiv.org/pdf/2407.04109</x:v>
      </x:c>
      <x:c r="AE18" s="14"/>
      <x:c r="AF18" s="14" t="str">
        <x:v>B/C</x:v>
      </x:c>
      <x:c r="AG18" s="14" t="str">
        <x:v>Update circular Rydberg atom node; last-author convention imperfect because Sayrin submitted and multiple senior authors are present.</x:v>
      </x:c>
      <x:c r="AH18" s="53" t="b">
        <x:v>0</x:v>
      </x:c>
    </x:row>
  </x:sheetData>
  <x:pageMargins left="0.7" right="0.7" top="0.75" bottom="0.75" header="0.3" footer="0.3"/>
</x:worksheet>
</file>

<file path=xl/worksheets/sheet2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8" hidden="0" customWidth="1"/>
    <x:col min="3" max="3" width="60" hidden="0" customWidth="1"/>
  </x:cols>
  <x:sheetData>
    <x:row r="1">
      <x:c r="A1" s="136" t="str">
        <x:v>metric</x:v>
      </x:c>
      <x:c r="B1" s="136" t="str">
        <x:v>value</x:v>
      </x:c>
      <x:c r="C1" s="136" t="str">
        <x:v>notes</x:v>
      </x:c>
    </x:row>
    <x:row r="2">
      <x:c r="A2" s="14" t="str">
        <x:v>version</x:v>
      </x:c>
      <x:c r="B2" s="14" t="str">
        <x:v>v1.4</x:v>
      </x:c>
      <x:c r="C2" s="14" t="str">
        <x:v>Paper-layer expansion only; no Database promotion in this pass.</x:v>
      </x:c>
    </x:row>
    <x:row r="3">
      <x:c r="A3" s="14" t="str">
        <x:v>date</x:v>
      </x:c>
      <x:c r="B3" s="14" t="str">
        <x:v>2026-06-18</x:v>
      </x:c>
      <x:c r="C3" s="14" t="str">
        <x:v>Europe/Paris current date.</x:v>
      </x:c>
    </x:row>
    <x:row r="4">
      <x:c r="A4" s="14" t="str">
        <x:v>new_papers_added</x:v>
      </x:c>
      <x:c r="B4" s="14" t="n">
        <x:v>17</x:v>
      </x:c>
      <x:c r="C4" s="14" t="str">
        <x:v>Added to Arxiv_PI_Map_2024_2026 and Arxiv_Batch_v1_4.</x:v>
      </x:c>
    </x:row>
    <x:row r="5">
      <x:c r="A5" s="14" t="str">
        <x:v>new_queries_added</x:v>
      </x:c>
      <x:c r="B5" s="14" t="n">
        <x:v>15</x:v>
      </x:c>
      <x:c r="C5" s="14" t="str">
        <x:v>Q-029 to Q-043.</x:v>
      </x:c>
    </x:row>
    <x:row r="6">
      <x:c r="A6" s="14" t="str">
        <x:v>new_pi_aggregate_rows</x:v>
      </x:c>
      <x:c r="B6" s="14" t="n">
        <x:v>8</x:v>
      </x:c>
      <x:c r="C6" s="14" t="str">
        <x:v>Only selected new PI/last-author candidates, not duplicate matched PIs.</x:v>
      </x:c>
    </x:row>
    <x:row r="7">
      <x:c r="A7" s="14" t="str">
        <x:v>database_entries_added</x:v>
      </x:c>
      <x:c r="B7" s="14" t="n">
        <x:v>0</x:v>
      </x:c>
      <x:c r="C7" s="14" t="str">
        <x:v>Map export unchanged from v1.3.</x:v>
      </x:c>
    </x:row>
    <x:row r="8">
      <x:c r="A8" s="14" t="str">
        <x:v>papers_matched_existing_db</x:v>
      </x:c>
      <x:c r="B8" s="14" t="n">
        <x:v>9</x:v>
      </x:c>
      <x:c r="C8" s="14" t="str">
        <x:v>Examples: Jin-Guo Liu, Burgers, Stuttgart, Durham, Lesanovsky, IOGS, Pengfei Zhang, LKB.</x:v>
      </x:c>
    </x:row>
    <x:row r="9">
      <x:c r="A9" s="14" t="str">
        <x:v>papers_new_candidate</x:v>
      </x:c>
      <x:c r="B9" s="14" t="n">
        <x:v>8</x:v>
      </x:c>
      <x:c r="C9" s="14" t="str">
        <x:v>Candidate rows require affiliation cleanup and promotion/demotion decisions.</x:v>
      </x:c>
    </x:row>
    <x:row r="10">
      <x:c r="A10" s="14" t="str">
        <x:v>needs_manual_check</x:v>
      </x:c>
      <x:c r="B10" s="14" t="n">
        <x:v>5</x:v>
      </x:c>
      <x:c r="C10" s="14" t="str">
        <x:v>These are flagged in the main paper map.</x:v>
      </x:c>
    </x:row>
    <x:row r="11">
      <x:c r="A11" s="14" t="str">
        <x:v>next_step</x:v>
      </x:c>
      <x:c r="B11" s="14" t="str">
        <x:v>v1.5</x:v>
      </x:c>
      <x:c r="C11" s="14" t="str">
        <x:v>Normalize/promote new theory/technical nodes: Chepiga, Mathey, Qi-Yu Liang, Hood, maybe Morais Smith split.</x:v>
      </x:c>
    </x:row>
  </x:sheetData>
  <x:pageMargins left="0.7" right="0.7" top="0.75" bottom="0.75" header="0.3" footer="0.3"/>
</x:worksheet>
</file>

<file path=xl/worksheets/sheet24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24" hidden="0" customWidth="1"/>
    <x:col min="3" max="3" width="14" hidden="0" customWidth="1"/>
    <x:col min="4" max="4" width="56" hidden="0" customWidth="1"/>
    <x:col min="5" max="5" width="44" hidden="0" customWidth="1"/>
    <x:col min="6" max="6" width="42" hidden="0" customWidth="1"/>
  </x:cols>
  <x:sheetData>
    <x:row r="1">
      <x:c r="A1" s="140" t="str">
        <x:v>name</x:v>
      </x:c>
      <x:c r="B1" s="140" t="str">
        <x:v>action</x:v>
      </x:c>
      <x:c r="C1" s="140" t="str">
        <x:v>confidence</x:v>
      </x:c>
      <x:c r="D1" s="140" t="str">
        <x:v>rationale</x:v>
      </x:c>
      <x:c r="E1" s="140" t="str">
        <x:v>primary_source_url</x:v>
      </x:c>
      <x:c r="F1" s="140" t="str">
        <x:v>next_check</x:v>
      </x:c>
    </x:row>
    <x:row r="2">
      <x:c r="A2" t="str">
        <x:v>Chepiga / TU Delft</x:v>
      </x:c>
      <x:c r="B2" t="str">
        <x:v>promoted to Database E-065</x:v>
      </x:c>
      <x:c r="C2" t="str">
        <x:v>B</x:v>
      </x:c>
      <x:c r="D2" t="str">
        <x:v>Direct Rydberg-array theory with 2024 PRL and 2026 multispecies arXiv activity; affiliation clean.</x:v>
      </x:c>
      <x:c r="E2" t="str">
        <x:v>https://link.aps.org/doi/10.1103/PhysRevLett.132.076505</x:v>
      </x:c>
      <x:c r="F2" t="str">
        <x:v>Add OpenAlex/S2 identifiers.</x:v>
      </x:c>
    </x:row>
    <x:row r="3">
      <x:c r="A3" t="str">
        <x:v>Mathey / Hamburg</x:v>
      </x:c>
      <x:c r="B3" t="str">
        <x:v>promoted to Database E-066</x:v>
      </x:c>
      <x:c r="C3" t="str">
        <x:v>B</x:v>
      </x:c>
      <x:c r="D3" t="str">
        <x:v>2025 paper explicitly treats interacting Rydberg atoms coupled to optical-tweezer motion; official Hamburg page verifies PI.</x:v>
      </x:c>
      <x:c r="E3" t="str">
        <x:v>https://arxiv.org/abs/2506.22669</x:v>
      </x:c>
      <x:c r="F3" t="str">
        <x:v>Check whether collaborator/network should be recorded separately.</x:v>
      </x:c>
    </x:row>
    <x:row r="4">
      <x:c r="A4" t="str">
        <x:v>Qi-Yu Liang / Purdue</x:v>
      </x:c>
      <x:c r="B4" t="str">
        <x:v>promoted cautiously to Database E-067</x:v>
      </x:c>
      <x:c r="C4" t="str">
        <x:v>B</x:v>
      </x:c>
      <x:c r="D4" t="str">
        <x:v>Recent Rydberg facilitation work and official Purdue affiliation; own tweezer-array hardware still unclear.</x:v>
      </x:c>
      <x:c r="E4" t="str">
        <x:v>https://quantum.research.purdue.edu/directory/qi-yu-grace-liang/</x:v>
      </x:c>
      <x:c r="F4" t="str">
        <x:v>Verify experimental platform type.</x:v>
      </x:c>
    </x:row>
    <x:row r="5">
      <x:c r="A5" t="str">
        <x:v>Jing Qian / ECNU</x:v>
      </x:c>
      <x:c r="B5" t="str">
        <x:v>promoted to Database E-068</x:v>
      </x:c>
      <x:c r="C5" t="str">
        <x:v>B</x:v>
      </x:c>
      <x:c r="D5" t="str">
        <x:v>2025 paper directly concerns Rydberg-dressed atom arrays; affiliation stated in publisher page.</x:v>
      </x:c>
      <x:c r="E5" t="str">
        <x:v>https://link.springer.com/article/10.1007/s44214-025-00078-4</x:v>
      </x:c>
      <x:c r="F5" t="str">
        <x:v>Keep as theory node unless hardware partner appears.</x:v>
      </x:c>
    </x:row>
    <x:row r="6">
      <x:c r="A6" t="str">
        <x:v>Dutch KAT-1 / UvA/TU/e ecosystem</x:v>
      </x:c>
      <x:c r="B6" t="str">
        <x:v>promoted to Database E-069</x:v>
      </x:c>
      <x:c r="C6" t="str">
        <x:v>B</x:v>
      </x:c>
      <x:c r="D6" t="str">
        <x:v>Source states Sr 2D optical tweezer QPU with Rydberg excitations; 2025 fractal-array arXiv is direct experimental/theory signal.</x:v>
      </x:c>
      <x:c r="E6" t="str">
        <x:v>https://research.tue.nl/en/activities/neutral-atoms-in-tweezer-arrays-for-hybrid-rydberg-quantum-comput/</x:v>
      </x:c>
      <x:c r="F6" t="str">
        <x:v>Possibly split UvA and TU/e later.</x:v>
      </x:c>
    </x:row>
    <x:row r="7">
      <x:c r="A7" t="str">
        <x:v>Circular Rydberg tweezers / Paris LKB</x:v>
      </x:c>
      <x:c r="B7" t="str">
        <x:v>promoted to Database E-070</x:v>
      </x:c>
      <x:c r="C7" t="str">
        <x:v>B</x:v>
      </x:c>
      <x:c r="D7" t="str">
        <x:v>Direct optical-tweezer experiments with interacting circular Rydberg atoms; keep as separate layer from standard neutral-atom processors.</x:v>
      </x:c>
      <x:c r="E7" t="str">
        <x:v>https://arxiv.org/abs/2407.04109</x:v>
      </x:c>
      <x:c r="F7" t="str">
        <x:v>Decide map layer for circular Rydberg.</x:v>
      </x:c>
    </x:row>
    <x:row r="8">
      <x:c r="A8" t="str">
        <x:v>Jonathan Hood / Purdue</x:v>
      </x:c>
      <x:c r="B8" t="str">
        <x:v>not promoted</x:v>
      </x:c>
      <x:c r="C8" t="str">
        <x:v>C?</x:v>
      </x:c>
      <x:c r="D8" t="str">
        <x:v>Current lab information points mainly to ultracold molecules/quantum optics; Rydberg-array signal is not clean enough as a core node.</x:v>
      </x:c>
      <x:c r="E8" t="str">
        <x:v>https://www.hoodlabpurdue.com/</x:v>
      </x:c>
      <x:c r="F8" t="str">
        <x:v>Revisit only if future papers show direct Rydberg tweezer array activity.</x:v>
      </x:c>
    </x:row>
  </x:sheetData>
  <x:pageMargins left="0.7" right="0.7" top="0.75" bottom="0.75" header="0.3" footer="0.3"/>
</x:worksheet>
</file>

<file path=xl/worksheets/sheet2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2" hidden="0" customWidth="1"/>
    <x:col min="3" max="3" width="48" hidden="0" customWidth="1"/>
    <x:col min="4" max="4" width="44" hidden="0" customWidth="1"/>
    <x:col min="5" max="5" width="28" hidden="0" customWidth="1"/>
    <x:col min="6" max="6" width="38" hidden="0" customWidth="1"/>
  </x:cols>
  <x:sheetData>
    <x:row r="1">
      <x:c r="A1" s="144" t="str">
        <x:v>section</x:v>
      </x:c>
      <x:c r="B1" s="144" t="str">
        <x:v>criterion_id</x:v>
      </x:c>
      <x:c r="C1" s="144" t="str">
        <x:v>criterion</x:v>
      </x:c>
      <x:c r="D1" s="144" t="str">
        <x:v>operational threshold</x:v>
      </x:c>
      <x:c r="E1" s="144" t="str">
        <x:v>current v1.5 status</x:v>
      </x:c>
      <x:c r="F1" s="144" t="str">
        <x:v>action before claiming coverage</x:v>
      </x:c>
    </x:row>
    <x:row r="2">
      <x:c r="A2" t="str">
        <x:v>Definition</x:v>
      </x:c>
      <x:c r="B2" t="str">
        <x:v>EC-001</x:v>
      </x:c>
      <x:c r="C2" t="str">
        <x:v>Operational exhaustion is not absolute completeness; it means the marginal discovery rate of new A/B nodes has saturated across independent source families.</x:v>
      </x:c>
      <x:c r="D2" t="str">
        <x:v>After 3 consecutive batches, no new A nodes and &lt;=2 new B nodes per &gt;=50 screened records, with all high-confidence hits reconciled.</x:v>
      </x:c>
      <x:c r="E2" t="str">
        <x:v>Not reached</x:v>
      </x:c>
      <x:c r="F2" t="str">
        <x:v>Continue arXiv/API batch and citation mining.</x:v>
      </x:c>
    </x:row>
    <x:row r="3">
      <x:c r="A3" t="str">
        <x:v>arXiv coverage</x:v>
      </x:c>
      <x:c r="B3" t="str">
        <x:v>EC-010</x:v>
      </x:c>
      <x:c r="C3" t="str">
        <x:v>Complete the full query grid for 2024, 2025 and 2026 using exact phrase variants and broad variants.</x:v>
      </x:c>
      <x:c r="D3" t="str">
        <x:v>All Q-001..Q-052 queries run with date filter 2024-01-01 to 2026-12-31; record total hits, screened hits, accepted hits, excluded hits.</x:v>
      </x:c>
      <x:c r="E3" t="str">
        <x:v>Not reached</x:v>
      </x:c>
      <x:c r="F3" t="str">
        <x:v>Run API batch with hit counts, not only manual seed search.</x:v>
      </x:c>
    </x:row>
    <x:row r="4">
      <x:c r="A4" t="str">
        <x:v>arXiv coverage</x:v>
      </x:c>
      <x:c r="B4" t="str">
        <x:v>EC-011</x:v>
      </x:c>
      <x:c r="C4" t="str">
        <x:v>Saturate arXiv by last-author discovery.</x:v>
      </x:c>
      <x:c r="D4" t="str">
        <x:v>No new last-author/PI candidate appears in two consecutive arXiv passes after deduplication, or new candidates are only C/Exclude.</x:v>
      </x:c>
      <x:c r="E4" t="str">
        <x:v>Not reached</x:v>
      </x:c>
      <x:c r="F4" t="str">
        <x:v>Aggregate by normalized last author and resolve affiliation.</x:v>
      </x:c>
    </x:row>
    <x:row r="5">
      <x:c r="A5" t="str">
        <x:v>Review citations</x:v>
      </x:c>
      <x:c r="B5" t="str">
        <x:v>EC-020</x:v>
      </x:c>
      <x:c r="C5" t="str">
        <x:v>Mine references from core reviews and perspectives.</x:v>
      </x:c>
      <x:c r="D5" t="str">
        <x:v>All Review_Seeds marked processed; references tagged as core/relevant/adjacent/exclude; backwards citations screened for missing historical nodes.</x:v>
      </x:c>
      <x:c r="E5" t="str">
        <x:v>Partially reached</x:v>
      </x:c>
      <x:c r="F5" t="str">
        <x:v>Add processed flag and reference counts per review.</x:v>
      </x:c>
    </x:row>
    <x:row r="6">
      <x:c r="A6" t="str">
        <x:v>Forward citations</x:v>
      </x:c>
      <x:c r="B6" t="str">
        <x:v>EC-021</x:v>
      </x:c>
      <x:c r="C6" t="str">
        <x:v>Mine papers citing the core reviews and core experimental papers.</x:v>
      </x:c>
      <x:c r="D6" t="str">
        <x:v>Top citing papers from Semantic Scholar/OpenAlex for core seeds screened for 2024-2026.</x:v>
      </x:c>
      <x:c r="E6" t="str">
        <x:v>Not reached</x:v>
      </x:c>
      <x:c r="F6" t="str">
        <x:v>Use OpenAlex/S2 citing works to detect newer theory and hardware nodes.</x:v>
      </x:c>
    </x:row>
    <x:row r="7">
      <x:c r="A7" t="str">
        <x:v>Institution normalization</x:v>
      </x:c>
      <x:c r="B7" t="str">
        <x:v>EC-030</x:v>
      </x:c>
      <x:c r="C7" t="str">
        <x:v>Normalize organizations and geography.</x:v>
      </x:c>
      <x:c r="D7" t="str">
        <x:v>&gt;=95% Database rows have institution, city, country, lat/long, website/source, and ideally ROR ID.</x:v>
      </x:c>
      <x:c r="E7" t="str">
        <x:v>Lat/long yes; ROR mostly missing</x:v>
      </x:c>
      <x:c r="F7" t="str">
        <x:v>Run ROR normalization batch.</x:v>
      </x:c>
    </x:row>
    <x:row r="8">
      <x:c r="A8" t="str">
        <x:v>Affiliation QC</x:v>
      </x:c>
      <x:c r="B8" t="str">
        <x:v>EC-031</x:v>
      </x:c>
      <x:c r="C8" t="str">
        <x:v>Resolve affiliation ambiguity for arXiv last authors.</x:v>
      </x:c>
      <x:c r="D8" t="str">
        <x:v>&gt;=90% Arxiv_PI_Map rows have institution/country and confidence &gt;= medium; unresolved rows have keep/exclude decision.</x:v>
      </x:c>
      <x:c r="E8" t="str">
        <x:v>Partially reached</x:v>
      </x:c>
      <x:c r="F8" t="str">
        <x:v>Continue Affiliation_Cleanup sheets.</x:v>
      </x:c>
    </x:row>
    <x:row r="9">
      <x:c r="A9" t="str">
        <x:v>Company coverage</x:v>
      </x:c>
      <x:c r="B9" t="str">
        <x:v>EC-040</x:v>
      </x:c>
      <x:c r="C9" t="str">
        <x:v>Scan company/startup/national-program layer separately.</x:v>
      </x:c>
      <x:c r="D9" t="str">
        <x:v>All known neutral-atom companies and public national programs checked for tweezer vs lattice vs unspecified Rydberg use.</x:v>
      </x:c>
      <x:c r="E9" t="str">
        <x:v>Partially reached</x:v>
      </x:c>
      <x:c r="F9" t="str">
        <x:v>Separate company pass: websites, jobs, patents, press releases.</x:v>
      </x:c>
    </x:row>
    <x:row r="10">
      <x:c r="A10" t="str">
        <x:v>Duplicate control</x:v>
      </x:c>
      <x:c r="B10" t="str">
        <x:v>EC-050</x:v>
      </x:c>
      <x:c r="C10" t="str">
        <x:v>Merge duplicate nodes without losing subteams.</x:v>
      </x:c>
      <x:c r="D10" t="str">
        <x:v>Every duplicated city/institution/PI cluster has a decision: merge, split, or ecosystem node.</x:v>
      </x:c>
      <x:c r="E10" t="str">
        <x:v>Partially reached</x:v>
      </x:c>
      <x:c r="F10" t="str">
        <x:v>Run duplicate report by institution/city/PI.</x:v>
      </x:c>
    </x:row>
    <x:row r="11">
      <x:c r="A11" t="str">
        <x:v>Quality floor</x:v>
      </x:c>
      <x:c r="B11" t="str">
        <x:v>EC-060</x:v>
      </x:c>
      <x:c r="C11" t="str">
        <x:v>Every A/B database entry must have at least one direct source URL supporting relevance.</x:v>
      </x:c>
      <x:c r="D11" t="str">
        <x:v>100% of A/B rows have source_url_1 and notes explaining why included.</x:v>
      </x:c>
      <x:c r="E11" t="str">
        <x:v>Mostly reached</x:v>
      </x:c>
      <x:c r="F11" t="str">
        <x:v>Audit all B rows, especially ambiguous Chinese/Dutch/company nodes.</x:v>
      </x:c>
    </x:row>
    <x:row r="12">
      <x:c r="A12" t="str">
        <x:v>Stop rule</x:v>
      </x:c>
      <x:c r="B12" t="str">
        <x:v>EC-070</x:v>
      </x:c>
      <x:c r="C12" t="str">
        <x:v>Declare v1.x source coverage sufficient for public beta.</x:v>
      </x:c>
      <x:c r="D12" t="str">
        <x:v>EC-001 plus EC-010, EC-020, EC-030, EC-060 satisfied; remaining unknowns tracked in QC not blocking map beta.</x:v>
      </x:c>
      <x:c r="E12" t="str">
        <x:v>Not reached</x:v>
      </x:c>
      <x:c r="F12" t="str">
        <x:v>Target after v1.8-v2.0, depending on arXiv/API batch size.</x:v>
      </x:c>
    </x:row>
    <x:row r="13">
      <x:c r="A13" t="str">
        <x:v>Maintenance</x:v>
      </x:c>
      <x:c r="B13" t="str">
        <x:v>EC-080</x:v>
      </x:c>
      <x:c r="C13" t="str">
        <x:v>Post-release update cadence.</x:v>
      </x:c>
      <x:c r="D13" t="str">
        <x:v>After beta, rerun arXiv/OpenAlex queries quarterly and add new 2026/2027 nodes.</x:v>
      </x:c>
      <x:c r="E13" t="str">
        <x:v>Future</x:v>
      </x:c>
      <x:c r="F13" t="str">
        <x:v>Build reproducible query log.</x:v>
      </x:c>
    </x:row>
  </x:sheetData>
  <x:pageMargins left="0.7" right="0.7" top="0.75" bottom="0.75" header="0.3" footer="0.3"/>
</x:worksheet>
</file>

<file path=xl/worksheets/sheet2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9" max="9" width="44" hidden="0" customWidth="1"/>
    <x:col min="17" max="17" width="38" hidden="0" customWidth="1"/>
    <x:col min="35" max="35" width="36" hidden="0" customWidth="1"/>
  </x:cols>
  <x:sheetData>
    <x:row r="1">
      <x:c r="A1" s="151" t="str">
        <x:v>screened_action</x:v>
      </x:c>
      <x:c r="B1" s="151" t="str">
        <x:v>duplicate_of</x:v>
      </x:c>
      <x:c r="C1" s="151" t="str">
        <x:v>saturation_signal</x:v>
      </x:c>
      <x:c r="D1" s="151" t="str">
        <x:v>record_id</x:v>
      </x:c>
      <x:c r="E1" s="151" t="str">
        <x:v>query_id</x:v>
      </x:c>
      <x:c r="F1" s="151" t="str">
        <x:v>search_bucket</x:v>
      </x:c>
      <x:c r="G1" s="151" t="str">
        <x:v>arxiv_id</x:v>
      </x:c>
      <x:c r="H1" s="151" t="str">
        <x:v>arxiv_version</x:v>
      </x:c>
      <x:c r="I1" s="151" t="str">
        <x:v>title</x:v>
      </x:c>
      <x:c r="J1" s="151" t="str">
        <x:v>year</x:v>
      </x:c>
      <x:c r="K1" s="151" t="str">
        <x:v>published_date</x:v>
      </x:c>
      <x:c r="L1" s="151" t="str">
        <x:v>updated_date</x:v>
      </x:c>
      <x:c r="M1" s="151" t="str">
        <x:v>primary_category</x:v>
      </x:c>
      <x:c r="N1" s="151" t="str">
        <x:v>all_categories</x:v>
      </x:c>
      <x:c r="O1" s="151" t="str">
        <x:v>matched_keywords</x:v>
      </x:c>
      <x:c r="P1" s="151" t="str">
        <x:v>include_decision</x:v>
      </x:c>
      <x:c r="Q1" s="151" t="str">
        <x:v>decision_reason</x:v>
      </x:c>
      <x:c r="R1" s="151" t="str">
        <x:v>last_author_raw</x:v>
      </x:c>
      <x:c r="S1" s="151" t="str">
        <x:v>last_author_normalized</x:v>
      </x:c>
      <x:c r="T1" s="151" t="str">
        <x:v>last_author_is_PI_assumption</x:v>
      </x:c>
      <x:c r="U1" s="151" t="str">
        <x:v>last_author_affiliation_raw</x:v>
      </x:c>
      <x:c r="V1" s="151" t="str">
        <x:v>affiliation_source</x:v>
      </x:c>
      <x:c r="W1" s="151" t="str">
        <x:v>institution_normalized</x:v>
      </x:c>
      <x:c r="X1" s="151" t="str">
        <x:v>ror_id</x:v>
      </x:c>
      <x:c r="Y1" s="151" t="str">
        <x:v>city</x:v>
      </x:c>
      <x:c r="Z1" s="151" t="str">
        <x:v>country</x:v>
      </x:c>
      <x:c r="AA1" s="151" t="str">
        <x:v>latitude</x:v>
      </x:c>
      <x:c r="AB1" s="151" t="str">
        <x:v>longitude</x:v>
      </x:c>
      <x:c r="AC1" s="151" t="str">
        <x:v>database_entity_id</x:v>
      </x:c>
      <x:c r="AD1" s="151" t="str">
        <x:v>entity_match_status</x:v>
      </x:c>
      <x:c r="AE1" s="151" t="str">
        <x:v>doi</x:v>
      </x:c>
      <x:c r="AF1" s="151" t="str">
        <x:v>arxiv_abs_url</x:v>
      </x:c>
      <x:c r="AG1" s="151" t="str">
        <x:v>arxiv_pdf_url</x:v>
      </x:c>
      <x:c r="AH1" s="151" t="str">
        <x:v>other_source_url</x:v>
      </x:c>
      <x:c r="AI1" s="151" t="str">
        <x:v>confidence</x:v>
      </x:c>
      <x:c r="AJ1" s="151" t="str">
        <x:v>curator_notes</x:v>
      </x:c>
      <x:c r="AK1" s="151" t="str">
        <x:v>needs_manual_check</x:v>
      </x:c>
      <x:c r="AL1" s="151"/>
    </x:row>
    <x:row r="2">
      <x:c r="A2" s="14" t="str">
        <x:v>added_to_paper_layer</x:v>
      </x:c>
      <x:c r="B2" s="14"/>
      <x:c r="C2" s="14" t="str">
        <x:v>new_candidate_or_adjacent</x:v>
      </x:c>
      <x:c r="D2" s="14" t="str">
        <x:v>ARXIV-PI-0085</x:v>
      </x:c>
      <x:c r="E2" s="14" t="str">
        <x:v>Q-053</x:v>
      </x:c>
      <x:c r="F2" s="14" t="str">
        <x:v>arxiv v1.6 supersolid/theory</x:v>
      </x:c>
      <x:c r="G2" s="14" t="str">
        <x:v>2407.12752</x:v>
      </x:c>
      <x:c r="H2" s="14" t="str">
        <x:v>v3</x:v>
      </x:c>
      <x:c r="I2" s="14" t="str">
        <x:v>Supersolidity in Rydberg tweezer arrays</x:v>
      </x:c>
      <x:c r="J2" s="14" t="n">
        <x:v>2024</x:v>
      </x:c>
      <x:c r="K2" s="14" t="str">
        <x:v>2024-07-17</x:v>
      </x:c>
      <x:c r="L2" s="14" t="str">
        <x:v>2025-01-15</x:v>
      </x:c>
      <x:c r="M2" s="14" t="str">
        <x:v>cond-mat.quant-gas</x:v>
      </x:c>
      <x:c r="N2" s="14" t="str">
        <x:v>cond-mat.quant-gas; cond-mat.stat-mech; quant-ph</x:v>
      </x:c>
      <x:c r="O2" s="14" t="str">
        <x:v>Rydberg tweezer arrays; supersolidity; optical tweezers; quantum Monte Carlo</x:v>
      </x:c>
      <x:c r="P2" s="14" t="str">
        <x:v>include</x:v>
      </x:c>
      <x:c r="Q2" s="14" t="str">
        <x:v>Direct phrase hit for Rydberg tweezer arrays; theory/mixed paper with explicit experimental feasibility discussion.</x:v>
      </x:c>
      <x:c r="R2" s="14" t="str">
        <x:v>Lode Pollet</x:v>
      </x:c>
      <x:c r="S2" s="14" t="str">
        <x:v>Lode Pollet</x:v>
      </x:c>
      <x:c r="T2" s="14" t="str">
        <x:v>yes</x:v>
      </x:c>
      <x:c r="U2" s="14" t="str">
        <x:v>Institution pending</x:v>
      </x:c>
      <x:c r="V2" s="14" t="str">
        <x:v>arxiv_abs_only</x:v>
      </x:c>
      <x:c r="W2" s="14" t="str">
        <x:v>Institution pending</x:v>
      </x:c>
      <x:c r="X2" s="14"/>
      <x:c r="Y2" s="14"/>
      <x:c r="Z2" s="14"/>
      <x:c r="AA2" s="14"/>
      <x:c r="AB2" s="14"/>
      <x:c r="AC2" s="14"/>
      <x:c r="AD2" s="14" t="str">
        <x:v>new_candidate</x:v>
      </x:c>
      <x:c r="AE2" s="14"/>
      <x:c r="AF2" s="14" t="str">
        <x:v>https://arxiv.org/abs/2407.12752</x:v>
      </x:c>
      <x:c r="AG2" s="14" t="str">
        <x:v>https://arxiv.org/pdf/2407.12752</x:v>
      </x:c>
      <x:c r="AH2" s="14"/>
      <x:c r="AI2" s="14" t="str">
        <x:v>B/C</x:v>
      </x:c>
      <x:c r="AJ2" s="14" t="str">
        <x:v>Strong theory/mixed candidate; resolve exact PI affiliation and relation to Browaeys/Geier experimental coauthors before promotion.</x:v>
      </x:c>
      <x:c r="AK2" s="53" t="b">
        <x:v>1</x:v>
      </x:c>
      <x:c r="AL2" s="14"/>
    </x:row>
    <x:row r="3">
      <x:c r="A3" s="14" t="str">
        <x:v>added_to_paper_layer</x:v>
      </x:c>
      <x:c r="B3" s="14"/>
      <x:c r="C3" s="14" t="str">
        <x:v>new_candidate_or_adjacent</x:v>
      </x:c>
      <x:c r="D3" s="14" t="str">
        <x:v>ARXIV-PI-0086</x:v>
      </x:c>
      <x:c r="E3" s="14" t="str">
        <x:v>Q-055</x:v>
      </x:c>
      <x:c r="F3" s="14" t="str">
        <x:v>arxiv v1.6 sensing/dark matter</x:v>
      </x:c>
      <x:c r="G3" s="14" t="str">
        <x:v>2507.12860</x:v>
      </x:c>
      <x:c r="H3" s="14" t="str">
        <x:v>v2</x:v>
      </x:c>
      <x:c r="I3" s="14" t="str">
        <x:v>Detecting dark matter using optically trapped Rydberg atom tweezer arrays</x:v>
      </x:c>
      <x:c r="J3" s="14" t="n">
        <x:v>2025</x:v>
      </x:c>
      <x:c r="K3" s="14" t="str">
        <x:v>2025-07-17</x:v>
      </x:c>
      <x:c r="L3" s="14" t="str">
        <x:v>2026-05-14</x:v>
      </x:c>
      <x:c r="M3" s="14" t="str">
        <x:v>hep-ph</x:v>
      </x:c>
      <x:c r="N3" s="14" t="str">
        <x:v>hep-ph; physics.atom-ph; quant-ph</x:v>
      </x:c>
      <x:c r="O3" s="14" t="str">
        <x:v>Rydberg atom tweezer arrays; dark matter detection; sensing; metrology</x:v>
      </x:c>
      <x:c r="P3" s="14" t="str">
        <x:v>include_as_adjacent</x:v>
      </x:c>
      <x:c r="Q3" s="14" t="str">
        <x:v>Uses optically trapped Rydberg atom tweezer arrays for a dark-matter detection proposal; relevant sensing/metrology branch, not QC core.</x:v>
      </x:c>
      <x:c r="R3" s="14" t="str">
        <x:v>Amar Vutha</x:v>
      </x:c>
      <x:c r="S3" s="14" t="str">
        <x:v>Amar Vutha</x:v>
      </x:c>
      <x:c r="T3" s="14" t="str">
        <x:v>yes</x:v>
      </x:c>
      <x:c r="U3" s="14" t="str">
        <x:v>Institution pending</x:v>
      </x:c>
      <x:c r="V3" s="14" t="str">
        <x:v>arxiv_abs_only</x:v>
      </x:c>
      <x:c r="W3" s="14" t="str">
        <x:v>Institution pending</x:v>
      </x:c>
      <x:c r="X3" s="14"/>
      <x:c r="Y3" s="14"/>
      <x:c r="Z3" s="14"/>
      <x:c r="AA3" s="14"/>
      <x:c r="AB3" s="14"/>
      <x:c r="AC3" s="14"/>
      <x:c r="AD3" s="14" t="str">
        <x:v>new_candidate</x:v>
      </x:c>
      <x:c r="AE3" s="14"/>
      <x:c r="AF3" s="14" t="str">
        <x:v>https://arxiv.org/abs/2507.12860</x:v>
      </x:c>
      <x:c r="AG3" s="14" t="str">
        <x:v>https://arxiv.org/pdf/2507.12860</x:v>
      </x:c>
      <x:c r="AH3" s="14"/>
      <x:c r="AI3" s="14" t="str">
        <x:v>C/B</x:v>
      </x:c>
      <x:c r="AJ3" s="14" t="str">
        <x:v>Potential adjacent metrology/theory node; verify affiliation and decide whether sensing is in or out of public map scope.</x:v>
      </x:c>
      <x:c r="AK3" s="53" t="b">
        <x:v>1</x:v>
      </x:c>
      <x:c r="AL3" s="14"/>
    </x:row>
    <x:row r="4">
      <x:c r="A4" s="14" t="str">
        <x:v>added_to_paper_layer</x:v>
      </x:c>
      <x:c r="B4" s="14"/>
      <x:c r="C4" s="14" t="str">
        <x:v>new_candidate_or_adjacent</x:v>
      </x:c>
      <x:c r="D4" s="14" t="str">
        <x:v>ARXIV-PI-0087</x:v>
      </x:c>
      <x:c r="E4" s="14" t="str">
        <x:v>Q-056</x:v>
      </x:c>
      <x:c r="F4" s="14" t="str">
        <x:v>arxiv v1.6 supersymmetry theory</x:v>
      </x:c>
      <x:c r="G4" s="14" t="str">
        <x:v>2405.21073</x:v>
      </x:c>
      <x:c r="H4" s="14" t="str">
        <x:v>v2</x:v>
      </x:c>
      <x:c r="I4" s="14" t="str">
        <x:v>Toward Quantum Analogue Simulation of Many-Body Supersymmetry with Rydberg Atom Arrays</x:v>
      </x:c>
      <x:c r="J4" s="14" t="n">
        <x:v>2024</x:v>
      </x:c>
      <x:c r="K4" s="14" t="str">
        <x:v>2024-05-31</x:v>
      </x:c>
      <x:c r="L4" s="14" t="str">
        <x:v>2025-07-18</x:v>
      </x:c>
      <x:c r="M4" s="14" t="str">
        <x:v>quant-ph</x:v>
      </x:c>
      <x:c r="N4" s="14" t="str">
        <x:v>quant-ph; cond-mat.quant-gas</x:v>
      </x:c>
      <x:c r="O4" s="14" t="str">
        <x:v>Rydberg atom arrays; tweezer arrays; supersymmetry; analogue simulation</x:v>
      </x:c>
      <x:c r="P4" s="14" t="str">
        <x:v>include</x:v>
      </x:c>
      <x:c r="Q4" s="14" t="str">
        <x:v>Theory paper motivated by Rydberg atoms trapped in optical tweezer arrays and analog simulation of many-body supersymmetry.</x:v>
      </x:c>
      <x:c r="R4" s="14" t="str">
        <x:v>Vito W. Scarola</x:v>
      </x:c>
      <x:c r="S4" s="14" t="str">
        <x:v>Vito W. Scarola</x:v>
      </x:c>
      <x:c r="T4" s="14" t="str">
        <x:v>yes</x:v>
      </x:c>
      <x:c r="U4" s="14" t="str">
        <x:v>Virginia Tech</x:v>
      </x:c>
      <x:c r="V4" s="14" t="str">
        <x:v>arxiv_abs + author/group page</x:v>
      </x:c>
      <x:c r="W4" s="14" t="str">
        <x:v>Virginia Tech</x:v>
      </x:c>
      <x:c r="X4" s="14"/>
      <x:c r="Y4" s="14" t="str">
        <x:v>Blacksburg</x:v>
      </x:c>
      <x:c r="Z4" s="14" t="str">
        <x:v>United States</x:v>
      </x:c>
      <x:c r="AA4" s="14" t="n">
        <x:v>37.2296</x:v>
      </x:c>
      <x:c r="AB4" s="14" t="n">
        <x:v>-80.4139</x:v>
      </x:c>
      <x:c r="AC4" s="14"/>
      <x:c r="AD4" s="14" t="str">
        <x:v>new_candidate</x:v>
      </x:c>
      <x:c r="AE4" s="14"/>
      <x:c r="AF4" s="14" t="str">
        <x:v>https://arxiv.org/abs/2405.21073</x:v>
      </x:c>
      <x:c r="AG4" s="14" t="str">
        <x:v>https://arxiv.org/pdf/2405.21073</x:v>
      </x:c>
      <x:c r="AH4" s="14" t="str">
        <x:v>https://scarola.phys.vt.edu/</x:v>
      </x:c>
      <x:c r="AI4" s="14" t="str">
        <x:v>B</x:v>
      </x:c>
      <x:c r="AJ4" s="14" t="str">
        <x:v>Good theory candidate; likely promotable after one affiliation/source QC pass.</x:v>
      </x:c>
      <x:c r="AK4" s="53" t="b">
        <x:v>0</x:v>
      </x:c>
      <x:c r="AL4" s="14"/>
    </x:row>
    <x:row r="5">
      <x:c r="A5" s="14" t="str">
        <x:v>added_to_paper_layer</x:v>
      </x:c>
      <x:c r="B5" s="14"/>
      <x:c r="C5" s="14" t="str">
        <x:v>new_candidate_or_adjacent</x:v>
      </x:c>
      <x:c r="D5" s="14" t="str">
        <x:v>ARXIV-PI-0088</x:v>
      </x:c>
      <x:c r="E5" s="14" t="str">
        <x:v>Q-057</x:v>
      </x:c>
      <x:c r="F5" s="14" t="str">
        <x:v>arxiv v1.6 pulse optimization theory</x:v>
      </x:c>
      <x:c r="G5" s="14" t="str">
        <x:v>2507.19153</x:v>
      </x:c>
      <x:c r="H5" s="14" t="str">
        <x:v>v1</x:v>
      </x:c>
      <x:c r="I5" s="14" t="str">
        <x:v>Pulse-based optimization of quantum many-body states with Rydberg atoms in optical tweezer arrays</x:v>
      </x:c>
      <x:c r="J5" s="14" t="n">
        <x:v>2025</x:v>
      </x:c>
      <x:c r="K5" s="14" t="str">
        <x:v>2025-07-25</x:v>
      </x:c>
      <x:c r="L5" s="14"/>
      <x:c r="M5" s="14" t="str">
        <x:v>quant-ph</x:v>
      </x:c>
      <x:c r="N5" s="14" t="str">
        <x:v>quant-ph; cond-mat.quant-gas; cond-mat.stat-mech</x:v>
      </x:c>
      <x:c r="O5" s="14" t="str">
        <x:v>Rydberg atoms; optical tweezer arrays; pulse optimization; VQE</x:v>
      </x:c>
      <x:c r="P5" s="14" t="str">
        <x:v>include</x:v>
      </x:c>
      <x:c r="Q5" s="14" t="str">
        <x:v>Direct phrase hit for Rydberg atoms in optical tweezer arrays; algorithm/control paper for analog and hybrid quantum algorithms.</x:v>
      </x:c>
      <x:c r="R5" s="14" t="str">
        <x:v>Seiji Yunoki</x:v>
      </x:c>
      <x:c r="S5" s="14" t="str">
        <x:v>Seiji Yunoki</x:v>
      </x:c>
      <x:c r="T5" s="14" t="str">
        <x:v>yes</x:v>
      </x:c>
      <x:c r="U5" s="14" t="str">
        <x:v>Institution pending</x:v>
      </x:c>
      <x:c r="V5" s="14" t="str">
        <x:v>arxiv_abs_only</x:v>
      </x:c>
      <x:c r="W5" s="14" t="str">
        <x:v>Institution pending</x:v>
      </x:c>
      <x:c r="X5" s="14"/>
      <x:c r="Y5" s="14"/>
      <x:c r="Z5" s="14"/>
      <x:c r="AA5" s="14"/>
      <x:c r="AB5" s="14"/>
      <x:c r="AC5" s="14"/>
      <x:c r="AD5" s="14" t="str">
        <x:v>new_candidate</x:v>
      </x:c>
      <x:c r="AE5" s="14"/>
      <x:c r="AF5" s="14" t="str">
        <x:v>https://arxiv.org/abs/2507.19153</x:v>
      </x:c>
      <x:c r="AG5" s="14" t="str">
        <x:v>https://arxiv.org/pdf/2507.19153</x:v>
      </x:c>
      <x:c r="AH5" s="14"/>
      <x:c r="AI5" s="14" t="str">
        <x:v>B/C</x:v>
      </x:c>
      <x:c r="AJ5" s="14" t="str">
        <x:v>Relevant control/algorithm node; resolve affiliation and whether Dauphin/other coauthors are better ecosystem node.</x:v>
      </x:c>
      <x:c r="AK5" s="53" t="b">
        <x:v>1</x:v>
      </x:c>
      <x:c r="AL5" s="14"/>
    </x:row>
    <x:row r="6">
      <x:c r="A6" s="14" t="str">
        <x:v>added_to_paper_layer</x:v>
      </x:c>
      <x:c r="B6" s="14"/>
      <x:c r="C6" s="14" t="str">
        <x:v>new_candidate_or_adjacent</x:v>
      </x:c>
      <x:c r="D6" s="14" t="str">
        <x:v>ARXIV-PI-0089</x:v>
      </x:c>
      <x:c r="E6" s="14" t="str">
        <x:v>Q-058</x:v>
      </x:c>
      <x:c r="F6" s="14" t="str">
        <x:v>arxiv v1.6 magic trapping</x:v>
      </x:c>
      <x:c r="G6" s="14" t="str">
        <x:v>2410.20901</x:v>
      </x:c>
      <x:c r="H6" s="14" t="str">
        <x:v>v2</x:v>
      </x:c>
      <x:c r="I6" s="14" t="str">
        <x:v>Magic running- and standing-wave optical traps for Rydberg atoms</x:v>
      </x:c>
      <x:c r="J6" s="14" t="n">
        <x:v>2024</x:v>
      </x:c>
      <x:c r="K6" s="14" t="str">
        <x:v>2024-10-28</x:v>
      </x:c>
      <x:c r="L6" s="14" t="str">
        <x:v>2025-02-03</x:v>
      </x:c>
      <x:c r="M6" s="14" t="str">
        <x:v>physics.atom-ph</x:v>
      </x:c>
      <x:c r="N6" s="14" t="str">
        <x:v>physics.atom-ph; quant-ph</x:v>
      </x:c>
      <x:c r="O6" s="14" t="str">
        <x:v>Rydberg atoms; magic traps; trap geometry; optical tweezers; optical lattice</x:v>
      </x:c>
      <x:c r="P6" s="14" t="str">
        <x:v>include_as_adjacent</x:v>
      </x:c>
      <x:c r="Q6" s="14" t="str">
        <x:v>Rydberg trapping/coherence paper whose analysis explicitly notes geometry dependence for optical lattices and tweezers; enabling physics branch.</x:v>
      </x:c>
      <x:c r="R6" s="14" t="str">
        <x:v>Sebastian Hofferberth</x:v>
      </x:c>
      <x:c r="S6" s="14" t="str">
        <x:v>Sebastian Hofferberth</x:v>
      </x:c>
      <x:c r="T6" s="14" t="str">
        <x:v>yes</x:v>
      </x:c>
      <x:c r="U6" s="14" t="str">
        <x:v>University of Bonn / Institute of Applied Physics</x:v>
      </x:c>
      <x:c r="V6" s="14" t="str">
        <x:v>arxiv_abs + Bonn NQO news page</x:v>
      </x:c>
      <x:c r="W6" s="14" t="str">
        <x:v>University of Bonn</x:v>
      </x:c>
      <x:c r="X6" s="14"/>
      <x:c r="Y6" s="14" t="str">
        <x:v>Bonn</x:v>
      </x:c>
      <x:c r="Z6" s="14" t="str">
        <x:v>Germany</x:v>
      </x:c>
      <x:c r="AA6" s="14" t="n">
        <x:v>50.7374</x:v>
      </x:c>
      <x:c r="AB6" s="14" t="n">
        <x:v>7.0982</x:v>
      </x:c>
      <x:c r="AC6" s="14"/>
      <x:c r="AD6" s="14" t="str">
        <x:v>new_candidate</x:v>
      </x:c>
      <x:c r="AE6" s="14"/>
      <x:c r="AF6" s="14" t="str">
        <x:v>https://arxiv.org/abs/2410.20901</x:v>
      </x:c>
      <x:c r="AG6" s="14" t="str">
        <x:v>https://arxiv.org/pdf/2410.20901</x:v>
      </x:c>
      <x:c r="AH6" s="14" t="str">
        <x:v>https://www.iap.uni-bonn.de/nqo/en/nqonews/rqo-paper-published-in-pra</x:v>
      </x:c>
      <x:c r="AI6" s="14" t="str">
        <x:v>B/C</x:v>
      </x:c>
      <x:c r="AJ6" s="14" t="str">
        <x:v>Adjacent enabling physics; includes theory collaboration with Igor Lesanovsky's group; not a tweezer-array processor node by itself.</x:v>
      </x:c>
      <x:c r="AK6" s="53" t="b">
        <x:v>0</x:v>
      </x:c>
      <x:c r="AL6" s="14"/>
    </x:row>
    <x:row r="7">
      <x:c r="A7" s="14" t="str">
        <x:v>added_to_paper_layer</x:v>
      </x:c>
      <x:c r="B7" s="14"/>
      <x:c r="C7" s="14" t="str">
        <x:v>new_candidate_or_adjacent</x:v>
      </x:c>
      <x:c r="D7" s="14" t="str">
        <x:v>ARXIV-PI-0090</x:v>
      </x:c>
      <x:c r="E7" s="14" t="str">
        <x:v>Q-059</x:v>
      </x:c>
      <x:c r="F7" s="14" t="str">
        <x:v>arxiv v1.6 cavity network</x:v>
      </x:c>
      <x:c r="G7" s="14" t="str">
        <x:v>2407.09109</x:v>
      </x:c>
      <x:c r="H7" s="14" t="str">
        <x:v>v1</x:v>
      </x:c>
      <x:c r="I7" s="14" t="str">
        <x:v>A quantum-network register assembled with optical tweezers in an optical cavity</x:v>
      </x:c>
      <x:c r="J7" s="14" t="n">
        <x:v>2024</x:v>
      </x:c>
      <x:c r="K7" s="14" t="str">
        <x:v>2024-07-12</x:v>
      </x:c>
      <x:c r="L7" s="14"/>
      <x:c r="M7" s="14" t="str">
        <x:v>quant-ph</x:v>
      </x:c>
      <x:c r="N7" s="14" t="str">
        <x:v>quant-ph; physics.atom-ph</x:v>
      </x:c>
      <x:c r="O7" s="14" t="str">
        <x:v>optical tweezers; optical cavity; atom arrays; quantum network register</x:v>
      </x:c>
      <x:c r="P7" s="14" t="str">
        <x:v>include_as_adjacent</x:v>
      </x:c>
      <x:c r="Q7" s="14" t="str">
        <x:v>Tweezer/cavity neutral-atom networking result; Rydberg not central but relevant for interconnect/interface layer.</x:v>
      </x:c>
      <x:c r="R7" s="14" t="str">
        <x:v>Gerhard Rempe</x:v>
      </x:c>
      <x:c r="S7" s="14" t="str">
        <x:v>Gerhard Rempe</x:v>
      </x:c>
      <x:c r="T7" s="14" t="str">
        <x:v>yes</x:v>
      </x:c>
      <x:c r="U7" s="14" t="str">
        <x:v>Max Planck Institute of Quantum Optics</x:v>
      </x:c>
      <x:c r="V7" s="14" t="str">
        <x:v>arxiv_abs</x:v>
      </x:c>
      <x:c r="W7" s="14" t="str">
        <x:v>Max Planck Institute of Quantum Optics</x:v>
      </x:c>
      <x:c r="X7" s="14"/>
      <x:c r="Y7" s="14" t="str">
        <x:v>Garching</x:v>
      </x:c>
      <x:c r="Z7" s="14" t="str">
        <x:v>Germany</x:v>
      </x:c>
      <x:c r="AA7" s="14" t="n">
        <x:v>48.2489</x:v>
      </x:c>
      <x:c r="AB7" s="14" t="n">
        <x:v>11.651</x:v>
      </x:c>
      <x:c r="AC7" s="14"/>
      <x:c r="AD7" s="14" t="str">
        <x:v>new_candidate</x:v>
      </x:c>
      <x:c r="AE7" s="14"/>
      <x:c r="AF7" s="14" t="str">
        <x:v>https://arxiv.org/abs/2407.09109</x:v>
      </x:c>
      <x:c r="AG7" s="14" t="str">
        <x:v>https://arxiv.org/pdf/2407.09109</x:v>
      </x:c>
      <x:c r="AH7" s="14"/>
      <x:c r="AI7" s="14" t="str">
        <x:v>C</x:v>
      </x:c>
      <x:c r="AJ7" s="14" t="str">
        <x:v>Keep as adjacent interface candidate; avoid promoting unless map expands to neutral-atom networking/cavity layer.</x:v>
      </x:c>
      <x:c r="AK7" s="53" t="b">
        <x:v>0</x:v>
      </x:c>
      <x:c r="AL7" s="14"/>
    </x:row>
    <x:row r="8">
      <x:c r="A8" s="14" t="str">
        <x:v>added_to_paper_layer</x:v>
      </x:c>
      <x:c r="B8" s="14"/>
      <x:c r="C8" s="14" t="str">
        <x:v>new_candidate_or_adjacent</x:v>
      </x:c>
      <x:c r="D8" s="14" t="str">
        <x:v>ARXIV-PI-0091</x:v>
      </x:c>
      <x:c r="E8" s="14" t="str">
        <x:v>Q-060</x:v>
      </x:c>
      <x:c r="F8" s="14" t="str">
        <x:v>arxiv v1.6 Rydberg array sensing</x:v>
      </x:c>
      <x:c r="G8" s="14" t="str">
        <x:v>2512.05413</x:v>
      </x:c>
      <x:c r="H8" s="14" t="str">
        <x:v>v1</x:v>
      </x:c>
      <x:c r="I8" s="14" t="str">
        <x:v>Microwave electrometry with quantum-limited resolutions in a Rydberg atom array</x:v>
      </x:c>
      <x:c r="J8" s="14" t="n">
        <x:v>2025</x:v>
      </x:c>
      <x:c r="K8" s="14" t="str">
        <x:v>2025-12-05</x:v>
      </x:c>
      <x:c r="L8" s="14"/>
      <x:c r="M8" s="14" t="str">
        <x:v>physics.atom-ph</x:v>
      </x:c>
      <x:c r="N8" s="14" t="str">
        <x:v>physics.atom-ph; quant-ph</x:v>
      </x:c>
      <x:c r="O8" s="14" t="str">
        <x:v>Rydberg atom array; optical tweezer array; microwave electrometry; sensing</x:v>
      </x:c>
      <x:c r="P8" s="14" t="str">
        <x:v>include_as_adjacent</x:v>
      </x:c>
      <x:c r="Q8" s="14" t="str">
        <x:v>Experimental sensing paper using individual Rydberg atoms in an optical tweezer array; strong for sensing branch but not QC core.</x:v>
      </x:c>
      <x:c r="R8" s="14" t="str">
        <x:v>Lin Li</x:v>
      </x:c>
      <x:c r="S8" s="14" t="str">
        <x:v>Lin Li</x:v>
      </x:c>
      <x:c r="T8" s="14" t="str">
        <x:v>yes</x:v>
      </x:c>
      <x:c r="U8" s="14" t="str">
        <x:v>Institution pending</x:v>
      </x:c>
      <x:c r="V8" s="14" t="str">
        <x:v>arxiv_abs_only</x:v>
      </x:c>
      <x:c r="W8" s="14" t="str">
        <x:v>Institution pending</x:v>
      </x:c>
      <x:c r="X8" s="14"/>
      <x:c r="Y8" s="14"/>
      <x:c r="Z8" s="14"/>
      <x:c r="AA8" s="14"/>
      <x:c r="AB8" s="14"/>
      <x:c r="AC8" s="14"/>
      <x:c r="AD8" s="14" t="str">
        <x:v>new_candidate</x:v>
      </x:c>
      <x:c r="AE8" s="14"/>
      <x:c r="AF8" s="14" t="str">
        <x:v>https://arxiv.org/abs/2512.05413</x:v>
      </x:c>
      <x:c r="AG8" s="14" t="str">
        <x:v>https://arxiv.org/pdf/2512.05413</x:v>
      </x:c>
      <x:c r="AH8" s="14"/>
      <x:c r="AI8" s="14" t="str">
        <x:v>B/C</x:v>
      </x:c>
      <x:c r="AJ8" s="14" t="str">
        <x:v>Likely important Chinese Rydberg-array sensing node; resolve affiliation before promotion.</x:v>
      </x:c>
      <x:c r="AK8" s="53" t="b">
        <x:v>1</x:v>
      </x:c>
      <x:c r="AL8" s="14"/>
    </x:row>
    <x:row r="9">
      <x:c r="A9" s="14" t="str">
        <x:v>added_to_paper_layer</x:v>
      </x:c>
      <x:c r="B9" s="14"/>
      <x:c r="C9" s="14" t="str">
        <x:v>new_candidate_or_adjacent</x:v>
      </x:c>
      <x:c r="D9" s="14" t="str">
        <x:v>ARXIV-PI-0092</x:v>
      </x:c>
      <x:c r="E9" s="14" t="str">
        <x:v>Q-061</x:v>
      </x:c>
      <x:c r="F9" s="14" t="str">
        <x:v>arxiv v1.6 connectivity theory</x:v>
      </x:c>
      <x:c r="G9" s="14" t="str">
        <x:v>2504.05087</x:v>
      </x:c>
      <x:c r="H9" s="14" t="str">
        <x:v>v3</x:v>
      </x:c>
      <x:c r="I9" s="14" t="str">
        <x:v>All-to-all connectivity of Rydberg-atom-based quantum processors with messenger qubits</x:v>
      </x:c>
      <x:c r="J9" s="14" t="n">
        <x:v>2025</x:v>
      </x:c>
      <x:c r="K9" s="14" t="str">
        <x:v>2025-04-07</x:v>
      </x:c>
      <x:c r="L9" s="14" t="str">
        <x:v>2025-11-06</x:v>
      </x:c>
      <x:c r="M9" s="14" t="str">
        <x:v>quant-ph</x:v>
      </x:c>
      <x:c r="N9" s="14" t="str">
        <x:v>quant-ph</x:v>
      </x:c>
      <x:c r="O9" s="14" t="str">
        <x:v>Rydberg atom arrays; quantum processors; messenger qubits; connectivity</x:v>
      </x:c>
      <x:c r="P9" s="14" t="str">
        <x:v>include</x:v>
      </x:c>
      <x:c r="Q9" s="14" t="str">
        <x:v>Theory/architecture paper for Rydberg-atom processors using moving messenger qubits; relevant architecture layer.</x:v>
      </x:c>
      <x:c r="R9" s="14" t="str">
        <x:v>Oleg V. Lychkovskiy</x:v>
      </x:c>
      <x:c r="S9" s="14" t="str">
        <x:v>Oleg V. Lychkovskiy</x:v>
      </x:c>
      <x:c r="T9" s="14" t="str">
        <x:v>yes</x:v>
      </x:c>
      <x:c r="U9" s="14" t="str">
        <x:v>Institution pending</x:v>
      </x:c>
      <x:c r="V9" s="14" t="str">
        <x:v>arxiv_abs_only</x:v>
      </x:c>
      <x:c r="W9" s="14" t="str">
        <x:v>Institution pending</x:v>
      </x:c>
      <x:c r="X9" s="14"/>
      <x:c r="Y9" s="14"/>
      <x:c r="Z9" s="14"/>
      <x:c r="AA9" s="14"/>
      <x:c r="AB9" s="14"/>
      <x:c r="AC9" s="14"/>
      <x:c r="AD9" s="14" t="str">
        <x:v>new_candidate</x:v>
      </x:c>
      <x:c r="AE9" s="14"/>
      <x:c r="AF9" s="14" t="str">
        <x:v>https://arxiv.org/abs/2504.05087</x:v>
      </x:c>
      <x:c r="AG9" s="14" t="str">
        <x:v>https://arxiv.org/pdf/2504.05087</x:v>
      </x:c>
      <x:c r="AH9" s="14"/>
      <x:c r="AI9" s="14" t="str">
        <x:v>B/C</x:v>
      </x:c>
      <x:c r="AJ9" s="14" t="str">
        <x:v>Architecture candidate; resolve affiliation and whether Russian Quantum Center/Fedorov node should be promoted instead.</x:v>
      </x:c>
      <x:c r="AK9" s="53" t="b">
        <x:v>1</x:v>
      </x:c>
      <x:c r="AL9" s="14"/>
    </x:row>
    <x:row r="10">
      <x:c r="A10" s="14" t="str">
        <x:v>added_to_paper_layer</x:v>
      </x:c>
      <x:c r="B10" s="14"/>
      <x:c r="C10" s="14" t="str">
        <x:v>new_candidate_or_adjacent</x:v>
      </x:c>
      <x:c r="D10" s="14" t="str">
        <x:v>ARXIV-PI-0093</x:v>
      </x:c>
      <x:c r="E10" s="14" t="str">
        <x:v>Q-062</x:v>
      </x:c>
      <x:c r="F10" s="14" t="str">
        <x:v>arxiv v1.6 localization/topology theory</x:v>
      </x:c>
      <x:c r="G10" s="14" t="str">
        <x:v>2505.07720</x:v>
      </x:c>
      <x:c r="H10" s="14" t="str">
        <x:v>v3</x:v>
      </x:c>
      <x:c r="I10" s="14" t="str">
        <x:v>Interplay of localization and topology in Rydberg tweezer arrays</x:v>
      </x:c>
      <x:c r="J10" s="14" t="n">
        <x:v>2025</x:v>
      </x:c>
      <x:c r="K10" s="14" t="str">
        <x:v>2025-05-12</x:v>
      </x:c>
      <x:c r="L10" s="14" t="str">
        <x:v>2026-02-04</x:v>
      </x:c>
      <x:c r="M10" s="14" t="str">
        <x:v>cond-mat.dis-nn</x:v>
      </x:c>
      <x:c r="N10" s="14" t="str">
        <x:v>cond-mat.dis-nn; quant-ph</x:v>
      </x:c>
      <x:c r="O10" s="14" t="str">
        <x:v>Rydberg tweezer arrays; localization; topology; positional disorder</x:v>
      </x:c>
      <x:c r="P10" s="14" t="str">
        <x:v>include</x:v>
      </x:c>
      <x:c r="Q10" s="14" t="str">
        <x:v>Direct Rydberg tweezer array theory paper on disorder/dimerization/topology; relevant theory branch.</x:v>
      </x:c>
      <x:c r="R10" s="14" t="str">
        <x:v>Jakub Zakrzewski</x:v>
      </x:c>
      <x:c r="S10" s="14" t="str">
        <x:v>Jakub Zakrzewski</x:v>
      </x:c>
      <x:c r="T10" s="14" t="str">
        <x:v>yes</x:v>
      </x:c>
      <x:c r="U10" s="14" t="str">
        <x:v>Institution pending</x:v>
      </x:c>
      <x:c r="V10" s="14" t="str">
        <x:v>arxiv_abs_only</x:v>
      </x:c>
      <x:c r="W10" s="14" t="str">
        <x:v>Institution pending</x:v>
      </x:c>
      <x:c r="X10" s="14"/>
      <x:c r="Y10" s="14"/>
      <x:c r="Z10" s="14"/>
      <x:c r="AA10" s="14"/>
      <x:c r="AB10" s="14"/>
      <x:c r="AC10" s="14"/>
      <x:c r="AD10" s="14" t="str">
        <x:v>new_candidate</x:v>
      </x:c>
      <x:c r="AE10" s="14"/>
      <x:c r="AF10" s="14" t="str">
        <x:v>https://arxiv.org/abs/2505.07720</x:v>
      </x:c>
      <x:c r="AG10" s="14" t="str">
        <x:v>https://arxiv.org/pdf/2505.07720</x:v>
      </x:c>
      <x:c r="AH10" s="14"/>
      <x:c r="AI10" s="14" t="str">
        <x:v>B/C</x:v>
      </x:c>
      <x:c r="AJ10" s="14" t="str">
        <x:v>Potential theory node; resolve affiliation and relation to Polish/Jagiellonian theory ecosystem.</x:v>
      </x:c>
      <x:c r="AK10" s="53" t="b">
        <x:v>1</x:v>
      </x:c>
      <x:c r="AL10" s="14"/>
    </x:row>
    <x:row r="11">
      <x:c r="A11" s="14" t="str">
        <x:v>added_to_paper_layer</x:v>
      </x:c>
      <x:c r="B11" s="14"/>
      <x:c r="C11" s="14" t="str">
        <x:v>new_candidate_or_adjacent</x:v>
      </x:c>
      <x:c r="D11" s="14" t="str">
        <x:v>ARXIV-PI-0094</x:v>
      </x:c>
      <x:c r="E11" s="14" t="str">
        <x:v>Q-063</x:v>
      </x:c>
      <x:c r="F11" s="14" t="str">
        <x:v>arxiv v1.6 molecule adjacent</x:v>
      </x:c>
      <x:c r="G11" s="14" t="str">
        <x:v>2401.13593</x:v>
      </x:c>
      <x:c r="H11" s="14" t="str">
        <x:v>v1</x:v>
      </x:c>
      <x:c r="I11" s="14" t="str">
        <x:v>Enhanced quantum control of individual ultracold molecules using optical tweezer arrays</x:v>
      </x:c>
      <x:c r="J11" s="14" t="n">
        <x:v>2024</x:v>
      </x:c>
      <x:c r="K11" s="14" t="str">
        <x:v>2024-01-24</x:v>
      </x:c>
      <x:c r="L11" s="14"/>
      <x:c r="M11" s="14" t="str">
        <x:v>physics.atom-ph</x:v>
      </x:c>
      <x:c r="N11" s="14" t="str">
        <x:v>physics.atom-ph; quant-ph</x:v>
      </x:c>
      <x:c r="O11" s="14" t="str">
        <x:v>optical tweezer arrays; ultracold molecules; RbCs; adjacent to Rydberg molecules</x:v>
      </x:c>
      <x:c r="P11" s="14" t="str">
        <x:v>include_as_adjacent</x:v>
      </x:c>
      <x:c r="Q11" s="14" t="str">
        <x:v>Molecule tweezer array paper; not Rydberg-core, but useful as adjacent control/readout/molecule branch for boundary control.</x:v>
      </x:c>
      <x:c r="R11" s="14" t="str">
        <x:v>Simon L. Cornish</x:v>
      </x:c>
      <x:c r="S11" s="14" t="str">
        <x:v>Simon L. Cornish</x:v>
      </x:c>
      <x:c r="T11" s="14" t="str">
        <x:v>yes</x:v>
      </x:c>
      <x:c r="U11" s="14" t="str">
        <x:v>Durham University</x:v>
      </x:c>
      <x:c r="V11" s="14" t="str">
        <x:v>arxiv_abs + existing candidate context</x:v>
      </x:c>
      <x:c r="W11" s="14" t="str">
        <x:v>Durham University</x:v>
      </x:c>
      <x:c r="X11" s="14"/>
      <x:c r="Y11" s="14" t="str">
        <x:v>Durham</x:v>
      </x:c>
      <x:c r="Z11" s="14" t="str">
        <x:v>United Kingdom</x:v>
      </x:c>
      <x:c r="AA11" s="14" t="n">
        <x:v>54.7753</x:v>
      </x:c>
      <x:c r="AB11" s="14" t="n">
        <x:v>-1.5849</x:v>
      </x:c>
      <x:c r="AC11" s="14"/>
      <x:c r="AD11" s="14" t="str">
        <x:v>new_candidate</x:v>
      </x:c>
      <x:c r="AE11" s="14"/>
      <x:c r="AF11" s="14" t="str">
        <x:v>https://arxiv.org/abs/2401.13593</x:v>
      </x:c>
      <x:c r="AG11" s="14" t="str">
        <x:v>https://arxiv.org/pdf/2401.13593</x:v>
      </x:c>
      <x:c r="AH11" s="14"/>
      <x:c r="AI11" s="14" t="str">
        <x:v>C</x:v>
      </x:c>
      <x:c r="AJ11" s="14" t="str">
        <x:v>Boundary case: keep in paper layer but do not promote unless molecule/Rydberg-molecule scope is explicitly expanded.</x:v>
      </x:c>
      <x:c r="AK11" s="53" t="b">
        <x:v>0</x:v>
      </x:c>
      <x:c r="AL11" s="14"/>
    </x:row>
    <x:row r="12">
      <x:c r="A12" s="14" t="str">
        <x:v>duplicate_existing</x:v>
      </x:c>
      <x:c r="B12" s="14" t="str">
        <x:v>ARXIV-PI existing</x:v>
      </x:c>
      <x:c r="C12" s="14" t="str">
        <x:v>duplicate_hit</x:v>
      </x:c>
      <x:c r="D12" s="14" t="str">
        <x:v>ARXIV-PI-DUP-v1.6-001</x:v>
      </x:c>
      <x:c r="E12" s="14" t="str">
        <x:v>Q-054</x:v>
      </x:c>
      <x:c r="F12" s="14" t="str">
        <x:v>arxiv v1.6 duplicate</x:v>
      </x:c>
      <x:c r="G12" s="14" t="str">
        <x:v>2504.05126</x:v>
      </x:c>
      <x:c r="H12" s="14" t="str">
        <x:v>v2</x:v>
      </x:c>
      <x:c r="I12" s="14" t="str">
        <x:v>Frustrated Rydberg Atom Arrays Meet Cavity-QED: Emergence of the Superradiant Clock Phase</x:v>
      </x:c>
      <x:c r="J12" s="14" t="n">
        <x:v>2025</x:v>
      </x:c>
      <x:c r="K12" s="14" t="str">
        <x:v>2025-04-07</x:v>
      </x:c>
      <x:c r="L12" s="14" t="str">
        <x:v>2026-03-11</x:v>
      </x:c>
      <x:c r="M12" s="14" t="str">
        <x:v>cond-mat.quant-gas</x:v>
      </x:c>
      <x:c r="N12" s="14" t="str">
        <x:v>cond-mat.quant-gas; quant-ph</x:v>
      </x:c>
      <x:c r="O12" s="14" t="str">
        <x:v>Rydberg atom arrays; cavity-QED; frustrated triangular arrays</x:v>
      </x:c>
      <x:c r="P12" s="14" t="str">
        <x:v>duplicate</x:v>
      </x:c>
      <x:c r="Q12" s="14" t="str">
        <x:v>Already present in Arxiv_PI_Map from v1.4; counts toward saturation, not a new node.</x:v>
      </x:c>
      <x:c r="R12" s="14" t="str">
        <x:v>Xue-Feng Zhang</x:v>
      </x:c>
      <x:c r="S12" s="14" t="str">
        <x:v>Xue-Feng Zhang</x:v>
      </x:c>
      <x:c r="T12" s="14" t="str">
        <x:v>yes</x:v>
      </x:c>
      <x:c r="U12" s="14" t="str">
        <x:v>Institution pending</x:v>
      </x:c>
      <x:c r="V12" s="14" t="str">
        <x:v>arxiv_abs_only</x:v>
      </x:c>
      <x:c r="W12" s="14" t="str">
        <x:v>Institution pending</x:v>
      </x:c>
      <x:c r="X12" s="14"/>
      <x:c r="Y12" s="14"/>
      <x:c r="Z12" s="14"/>
      <x:c r="AA12" s="14"/>
      <x:c r="AB12" s="14"/>
      <x:c r="AC12" s="14"/>
      <x:c r="AD12" s="14" t="str">
        <x:v>duplicate</x:v>
      </x:c>
      <x:c r="AE12" s="14"/>
      <x:c r="AF12" s="14" t="str">
        <x:v>https://arxiv.org/abs/2504.05126</x:v>
      </x:c>
      <x:c r="AG12" s="14" t="str">
        <x:v>https://arxiv.org/pdf/2504.05126</x:v>
      </x:c>
      <x:c r="AH12" s="14"/>
      <x:c r="AI12" s="14" t="str">
        <x:v>B/C</x:v>
      </x:c>
      <x:c r="AJ12" s="14" t="str">
        <x:v>Duplicate search hit.</x:v>
      </x:c>
      <x:c r="AK12" s="53" t="b">
        <x:v>1</x:v>
      </x:c>
      <x:c r="AL12" s="14"/>
    </x:row>
    <x:row r="13">
      <x:c r="A13" s="14" t="str">
        <x:v>duplicate_existing</x:v>
      </x:c>
      <x:c r="B13" s="14" t="str">
        <x:v>ARXIV-PI existing</x:v>
      </x:c>
      <x:c r="C13" s="14" t="str">
        <x:v>duplicate_hit</x:v>
      </x:c>
      <x:c r="D13" s="14" t="str">
        <x:v>ARXIV-PI-DUP-v1.6-002</x:v>
      </x:c>
      <x:c r="E13" s="14" t="str">
        <x:v>Q-064</x:v>
      </x:c>
      <x:c r="F13" s="14" t="str">
        <x:v>arxiv v1.6 duplicate</x:v>
      </x:c>
      <x:c r="G13" s="14" t="str">
        <x:v>2512.19795</x:v>
      </x:c>
      <x:c r="H13" s="14" t="str">
        <x:v>v1</x:v>
      </x:c>
      <x:c r="I13" s="14" t="str">
        <x:v>High-efficiency loading of 2,400 Ytterbium atoms in optical tweezer arrays</x:v>
      </x:c>
      <x:c r="J13" s="14" t="n">
        <x:v>2025</x:v>
      </x:c>
      <x:c r="K13" s="14" t="str">
        <x:v>2025-12-22</x:v>
      </x:c>
      <x:c r="L13" s="14"/>
      <x:c r="M13" s="14" t="str">
        <x:v>quant-ph</x:v>
      </x:c>
      <x:c r="N13" s="14" t="str">
        <x:v>quant-ph; physics.atom-ph</x:v>
      </x:c>
      <x:c r="O13" s="14" t="str">
        <x:v>Yb atoms; optical tweezer arrays; Rydberg gates</x:v>
      </x:c>
      <x:c r="P13" s="14" t="str">
        <x:v>duplicate</x:v>
      </x:c>
      <x:c r="Q13" s="14" t="str">
        <x:v>Already present in Arxiv_PI_Map from a prior Yb/scalability pass.</x:v>
      </x:c>
      <x:c r="R13" s="14" t="str">
        <x:v>Pai Peng</x:v>
      </x:c>
      <x:c r="S13" s="14" t="str">
        <x:v>Pai Peng</x:v>
      </x:c>
      <x:c r="T13" s="14" t="str">
        <x:v>yes</x:v>
      </x:c>
      <x:c r="U13" s="14" t="str">
        <x:v>Peking University / pending exact unit</x:v>
      </x:c>
      <x:c r="V13" s="14" t="str">
        <x:v>existing DB/paper layer</x:v>
      </x:c>
      <x:c r="W13" s="14" t="str">
        <x:v>Peking University</x:v>
      </x:c>
      <x:c r="X13" s="14"/>
      <x:c r="Y13" s="14" t="str">
        <x:v>Beijing</x:v>
      </x:c>
      <x:c r="Z13" s="14" t="str">
        <x:v>China</x:v>
      </x:c>
      <x:c r="AA13" s="14" t="n">
        <x:v>39.9042</x:v>
      </x:c>
      <x:c r="AB13" s="14" t="n">
        <x:v>116.4074</x:v>
      </x:c>
      <x:c r="AC13" s="14"/>
      <x:c r="AD13" s="14" t="str">
        <x:v>duplicate</x:v>
      </x:c>
      <x:c r="AE13" s="14"/>
      <x:c r="AF13" s="14" t="str">
        <x:v>https://arxiv.org/abs/2512.19795</x:v>
      </x:c>
      <x:c r="AG13" s="14" t="str">
        <x:v>https://arxiv.org/pdf/2512.19795</x:v>
      </x:c>
      <x:c r="AH13" s="14"/>
      <x:c r="AI13" s="14" t="str">
        <x:v>B</x:v>
      </x:c>
      <x:c r="AJ13" s="14" t="str">
        <x:v>Duplicate search hit.</x:v>
      </x:c>
      <x:c r="AK13" s="53" t="b">
        <x:v>0</x:v>
      </x:c>
      <x:c r="AL13" s="14"/>
    </x:row>
    <x:row r="14">
      <x:c r="A14" s="14" t="str">
        <x:v>duplicate_existing</x:v>
      </x:c>
      <x:c r="B14" s="14" t="str">
        <x:v>ARXIV-PI existing</x:v>
      </x:c>
      <x:c r="C14" s="14" t="str">
        <x:v>duplicate_hit</x:v>
      </x:c>
      <x:c r="D14" s="14" t="str">
        <x:v>ARXIV-PI-DUP-v1.6-003</x:v>
      </x:c>
      <x:c r="E14" s="14" t="str">
        <x:v>Q-065</x:v>
      </x:c>
      <x:c r="F14" s="14" t="str">
        <x:v>arxiv v1.6 duplicate</x:v>
      </x:c>
      <x:c r="G14" s="14" t="str">
        <x:v>2506.09865</x:v>
      </x:c>
      <x:c r="H14" s="14" t="str">
        <x:v>v1</x:v>
      </x:c>
      <x:c r="I14" s="14" t="str">
        <x:v>Rydberg atom arrays as quantum simulators for molecular dynamics</x:v>
      </x:c>
      <x:c r="J14" s="14" t="n">
        <x:v>2025</x:v>
      </x:c>
      <x:c r="K14" s="14" t="str">
        <x:v>2025-06-11</x:v>
      </x:c>
      <x:c r="L14" s="14"/>
      <x:c r="M14" s="14" t="str">
        <x:v>quant-ph</x:v>
      </x:c>
      <x:c r="N14" s="14" t="str">
        <x:v>quant-ph; physics.atom-ph</x:v>
      </x:c>
      <x:c r="O14" s="14" t="str">
        <x:v>Rydberg tweezer arrays; molecular dynamics; theory</x:v>
      </x:c>
      <x:c r="P14" s="14" t="str">
        <x:v>duplicate</x:v>
      </x:c>
      <x:c r="Q14" s="14" t="str">
        <x:v>Already present in Arxiv_PI_Map/citation layer; counts toward saturation, not a new node.</x:v>
      </x:c>
      <x:c r="R14" s="14" t="str">
        <x:v>Igor Lesanovsky</x:v>
      </x:c>
      <x:c r="S14" s="14" t="str">
        <x:v>Igor Lesanovsky</x:v>
      </x:c>
      <x:c r="T14" s="14" t="str">
        <x:v>yes</x:v>
      </x:c>
      <x:c r="U14" s="14" t="str">
        <x:v>University of Tübingen / pending exact node</x:v>
      </x:c>
      <x:c r="V14" s="14" t="str">
        <x:v>existing paper layer</x:v>
      </x:c>
      <x:c r="W14" s="14" t="str">
        <x:v>University of Tübingen</x:v>
      </x:c>
      <x:c r="X14" s="14"/>
      <x:c r="Y14" s="14" t="str">
        <x:v>Tübingen</x:v>
      </x:c>
      <x:c r="Z14" s="14" t="str">
        <x:v>Germany</x:v>
      </x:c>
      <x:c r="AA14" s="14" t="n">
        <x:v>48.5216</x:v>
      </x:c>
      <x:c r="AB14" s="14" t="n">
        <x:v>9.0576</x:v>
      </x:c>
      <x:c r="AC14" s="14"/>
      <x:c r="AD14" s="14" t="str">
        <x:v>duplicate</x:v>
      </x:c>
      <x:c r="AE14" s="14"/>
      <x:c r="AF14" s="14" t="str">
        <x:v>https://arxiv.org/abs/2506.09865</x:v>
      </x:c>
      <x:c r="AG14" s="14" t="str">
        <x:v>https://arxiv.org/pdf/2506.09865</x:v>
      </x:c>
      <x:c r="AH14" s="14"/>
      <x:c r="AI14" s="14" t="str">
        <x:v>B</x:v>
      </x:c>
      <x:c r="AJ14" s="14" t="str">
        <x:v>Duplicate search hit.</x:v>
      </x:c>
      <x:c r="AK14" s="53" t="b">
        <x:v>0</x:v>
      </x:c>
      <x:c r="AL14" s="14"/>
    </x:row>
    <x:row r="15">
      <x:c r="A15" s="14"/>
      <x:c r="B15" s="14"/>
      <x:c r="C15" s="14"/>
      <x:c r="D15" s="14"/>
      <x:c r="E15" s="14"/>
      <x:c r="F15" s="14"/>
      <x:c r="G15" s="14"/>
      <x:c r="H15" s="14"/>
      <x:c r="I15" s="14"/>
      <x:c r="J15" s="14"/>
      <x:c r="K15" s="14"/>
      <x:c r="L15" s="14"/>
      <x:c r="M15" s="14"/>
      <x:c r="N15" s="14"/>
      <x:c r="O15" s="14"/>
      <x:c r="P15" s="14"/>
      <x:c r="Q15" s="14"/>
      <x:c r="R15" s="14"/>
      <x:c r="S15" s="14"/>
      <x:c r="T15" s="14"/>
      <x:c r="U15" s="14"/>
      <x:c r="V15" s="14"/>
      <x:c r="W15" s="14"/>
      <x:c r="X15" s="14"/>
      <x:c r="Y15" s="14"/>
      <x:c r="Z15" s="14"/>
      <x:c r="AA15" s="14"/>
      <x:c r="AB15" s="14"/>
      <x:c r="AC15" s="14"/>
      <x:c r="AD15" s="14"/>
      <x:c r="AE15" s="14"/>
      <x:c r="AF15" s="14"/>
      <x:c r="AG15" s="14"/>
      <x:c r="AH15" s="14"/>
      <x:c r="AI15" s="14"/>
      <x:c r="AJ15" s="14"/>
      <x:c r="AK15" s="14"/>
      <x:c r="AL15" s="14"/>
    </x:row>
    <x:row r="16">
      <x:c r="A16" s="14"/>
      <x:c r="B16" s="14"/>
      <x:c r="C16" s="14"/>
      <x:c r="D16" s="14"/>
      <x:c r="E16" s="14"/>
      <x:c r="F16" s="14"/>
      <x:c r="G16" s="14"/>
      <x:c r="H16" s="14"/>
      <x:c r="I16" s="14"/>
      <x:c r="J16" s="14"/>
      <x:c r="K16" s="14"/>
      <x:c r="L16" s="14"/>
      <x:c r="M16" s="14"/>
      <x:c r="N16" s="14"/>
      <x:c r="O16" s="14"/>
      <x:c r="P16" s="14"/>
      <x:c r="Q16" s="14"/>
      <x:c r="R16" s="14"/>
      <x:c r="S16" s="14"/>
      <x:c r="T16" s="14"/>
      <x:c r="U16" s="14"/>
      <x:c r="V16" s="14"/>
      <x:c r="W16" s="14"/>
      <x:c r="X16" s="14"/>
      <x:c r="Y16" s="14"/>
      <x:c r="Z16" s="14"/>
      <x:c r="AA16" s="14"/>
      <x:c r="AB16" s="14"/>
      <x:c r="AC16" s="14"/>
      <x:c r="AD16" s="14"/>
      <x:c r="AE16" s="14"/>
      <x:c r="AF16" s="14"/>
      <x:c r="AG16" s="14"/>
      <x:c r="AH16" s="14"/>
      <x:c r="AI16" s="14"/>
      <x:c r="AJ16" s="14"/>
      <x:c r="AK16" s="14"/>
      <x:c r="AL16" s="14"/>
    </x:row>
    <x:row r="17">
      <x:c r="A17" s="14"/>
      <x:c r="B17" s="14"/>
      <x:c r="C17" s="14"/>
      <x:c r="D17" s="14"/>
      <x:c r="E17" s="14"/>
      <x:c r="F17" s="14"/>
      <x:c r="G17" s="14"/>
      <x:c r="H17" s="14"/>
      <x:c r="I17" s="14"/>
      <x:c r="J17" s="14"/>
      <x:c r="K17" s="14"/>
      <x:c r="L17" s="14"/>
      <x:c r="M17" s="14"/>
      <x:c r="N17" s="14"/>
      <x:c r="O17" s="14"/>
      <x:c r="P17" s="14"/>
      <x:c r="Q17" s="14"/>
      <x:c r="R17" s="14"/>
      <x:c r="S17" s="14"/>
      <x:c r="T17" s="14"/>
      <x:c r="U17" s="14"/>
      <x:c r="V17" s="14"/>
      <x:c r="W17" s="14"/>
      <x:c r="X17" s="14"/>
      <x:c r="Y17" s="14"/>
      <x:c r="Z17" s="14"/>
      <x:c r="AA17" s="14"/>
      <x:c r="AB17" s="14"/>
      <x:c r="AC17" s="14"/>
      <x:c r="AD17" s="14"/>
      <x:c r="AE17" s="14"/>
      <x:c r="AF17" s="14"/>
      <x:c r="AG17" s="14"/>
      <x:c r="AH17" s="14"/>
      <x:c r="AI17" s="14"/>
      <x:c r="AJ17" s="14"/>
      <x:c r="AK17" s="14"/>
      <x:c r="AL17" s="14"/>
    </x:row>
    <x:row r="18">
      <x:c r="A18" s="14"/>
      <x:c r="B18" s="14"/>
      <x:c r="C18" s="14"/>
      <x:c r="D18" s="14"/>
      <x:c r="E18" s="14"/>
      <x:c r="F18" s="14"/>
      <x:c r="G18" s="14"/>
      <x:c r="H18" s="14"/>
      <x:c r="I18" s="14"/>
      <x:c r="J18" s="14"/>
      <x:c r="K18" s="14"/>
      <x:c r="L18" s="14"/>
      <x:c r="M18" s="14"/>
      <x:c r="N18" s="14"/>
      <x:c r="O18" s="14"/>
      <x:c r="P18" s="14"/>
      <x:c r="Q18" s="14"/>
      <x:c r="R18" s="14"/>
      <x:c r="S18" s="14"/>
      <x:c r="T18" s="14"/>
      <x:c r="U18" s="14"/>
      <x:c r="V18" s="14"/>
      <x:c r="W18" s="14"/>
      <x:c r="X18" s="14"/>
      <x:c r="Y18" s="14"/>
      <x:c r="Z18" s="14"/>
      <x:c r="AA18" s="14"/>
      <x:c r="AB18" s="14"/>
      <x:c r="AC18" s="14"/>
      <x:c r="AD18" s="14"/>
      <x:c r="AE18" s="14"/>
      <x:c r="AF18" s="14"/>
      <x:c r="AG18" s="14"/>
      <x:c r="AH18" s="14"/>
      <x:c r="AI18" s="14"/>
      <x:c r="AJ18" s="14"/>
      <x:c r="AK18" s="14"/>
      <x:c r="AL18" s="14"/>
    </x:row>
    <x:row r="19">
      <x:c r="A19" s="14"/>
      <x:c r="B19" s="14"/>
      <x:c r="C19" s="14"/>
      <x:c r="D19" s="14"/>
      <x:c r="E19" s="14"/>
      <x:c r="F19" s="14"/>
      <x:c r="G19" s="14"/>
      <x:c r="H19" s="14"/>
      <x:c r="I19" s="14"/>
      <x:c r="J19" s="14"/>
      <x:c r="K19" s="14"/>
      <x:c r="L19" s="14"/>
      <x:c r="M19" s="14"/>
      <x:c r="N19" s="14"/>
      <x:c r="O19" s="14"/>
      <x:c r="P19" s="14"/>
      <x:c r="Q19" s="14"/>
      <x:c r="R19" s="14"/>
      <x:c r="S19" s="14"/>
      <x:c r="T19" s="14"/>
      <x:c r="U19" s="14"/>
      <x:c r="V19" s="14"/>
      <x:c r="W19" s="14"/>
      <x:c r="X19" s="14"/>
      <x:c r="Y19" s="14"/>
      <x:c r="Z19" s="14"/>
      <x:c r="AA19" s="14"/>
      <x:c r="AB19" s="14"/>
      <x:c r="AC19" s="14"/>
      <x:c r="AD19" s="14"/>
      <x:c r="AE19" s="14"/>
      <x:c r="AF19" s="14"/>
      <x:c r="AG19" s="14"/>
      <x:c r="AH19" s="14"/>
      <x:c r="AI19" s="14"/>
      <x:c r="AJ19" s="14"/>
      <x:c r="AK19" s="14"/>
      <x:c r="AL19" s="14"/>
    </x:row>
    <x:row r="20">
      <x:c r="A20" s="14"/>
      <x:c r="B20" s="14"/>
      <x:c r="C20" s="14"/>
      <x:c r="D20" s="14"/>
      <x:c r="E20" s="14"/>
      <x:c r="F20" s="14"/>
      <x:c r="G20" s="14"/>
      <x:c r="H20" s="14"/>
      <x:c r="I20" s="14"/>
      <x:c r="J20" s="14"/>
      <x:c r="K20" s="14"/>
      <x:c r="L20" s="14"/>
      <x:c r="M20" s="14"/>
      <x:c r="N20" s="14"/>
      <x:c r="O20" s="14"/>
      <x:c r="P20" s="14"/>
      <x:c r="Q20" s="14"/>
      <x:c r="R20" s="14"/>
      <x:c r="S20" s="14"/>
      <x:c r="T20" s="14"/>
      <x:c r="U20" s="14"/>
      <x:c r="V20" s="14"/>
      <x:c r="W20" s="14"/>
      <x:c r="X20" s="14"/>
      <x:c r="Y20" s="14"/>
      <x:c r="Z20" s="14"/>
      <x:c r="AA20" s="14"/>
      <x:c r="AB20" s="14"/>
      <x:c r="AC20" s="14"/>
      <x:c r="AD20" s="14"/>
      <x:c r="AE20" s="14"/>
      <x:c r="AF20" s="14"/>
      <x:c r="AG20" s="14"/>
      <x:c r="AH20" s="14"/>
      <x:c r="AI20" s="14"/>
      <x:c r="AJ20" s="14"/>
      <x:c r="AK20" s="14"/>
      <x:c r="AL20" s="14"/>
    </x:row>
    <x:row r="21">
      <x:c r="A21" s="14"/>
      <x:c r="B21" s="14"/>
      <x:c r="C21" s="14"/>
      <x:c r="D21" s="14"/>
      <x:c r="E21" s="14"/>
      <x:c r="F21" s="14"/>
      <x:c r="G21" s="14"/>
      <x:c r="H21" s="14"/>
      <x:c r="I21" s="14"/>
      <x:c r="J21" s="14"/>
      <x:c r="K21" s="14"/>
      <x:c r="L21" s="14"/>
      <x:c r="M21" s="14"/>
      <x:c r="N21" s="14"/>
      <x:c r="O21" s="14"/>
      <x:c r="P21" s="14"/>
      <x:c r="Q21" s="14"/>
      <x:c r="R21" s="14"/>
      <x:c r="S21" s="14"/>
      <x:c r="T21" s="14"/>
      <x:c r="U21" s="14"/>
      <x:c r="V21" s="14"/>
      <x:c r="W21" s="14"/>
      <x:c r="X21" s="14"/>
      <x:c r="Y21" s="14"/>
      <x:c r="Z21" s="14"/>
      <x:c r="AA21" s="14"/>
      <x:c r="AB21" s="14"/>
      <x:c r="AC21" s="14"/>
      <x:c r="AD21" s="14"/>
      <x:c r="AE21" s="14"/>
      <x:c r="AF21" s="14"/>
      <x:c r="AG21" s="14"/>
      <x:c r="AH21" s="14"/>
      <x:c r="AI21" s="14"/>
      <x:c r="AJ21" s="14"/>
      <x:c r="AK21" s="14"/>
      <x:c r="AL21" s="14"/>
    </x:row>
    <x:row r="22">
      <x:c r="A22" s="14"/>
      <x:c r="B22" s="14"/>
      <x:c r="C22" s="14"/>
      <x:c r="D22" s="14"/>
      <x:c r="E22" s="14"/>
      <x:c r="F22" s="14"/>
      <x:c r="G22" s="14"/>
      <x:c r="H22" s="14"/>
      <x:c r="I22" s="14"/>
      <x:c r="J22" s="14"/>
      <x:c r="K22" s="14"/>
      <x:c r="L22" s="14"/>
      <x:c r="M22" s="14"/>
      <x:c r="N22" s="14"/>
      <x:c r="O22" s="14"/>
      <x:c r="P22" s="14"/>
      <x:c r="Q22" s="14"/>
      <x:c r="R22" s="14"/>
      <x:c r="S22" s="14"/>
      <x:c r="T22" s="14"/>
      <x:c r="U22" s="14"/>
      <x:c r="V22" s="14"/>
      <x:c r="W22" s="14"/>
      <x:c r="X22" s="14"/>
      <x:c r="Y22" s="14"/>
      <x:c r="Z22" s="14"/>
      <x:c r="AA22" s="14"/>
      <x:c r="AB22" s="14"/>
      <x:c r="AC22" s="14"/>
      <x:c r="AD22" s="14"/>
      <x:c r="AE22" s="14"/>
      <x:c r="AF22" s="14"/>
      <x:c r="AG22" s="14"/>
      <x:c r="AH22" s="14"/>
      <x:c r="AI22" s="14"/>
      <x:c r="AJ22" s="14"/>
      <x:c r="AK22" s="14"/>
      <x:c r="AL22" s="14"/>
    </x:row>
    <x:row r="23">
      <x:c r="A23" s="14"/>
      <x:c r="B23" s="14"/>
      <x:c r="C23" s="14"/>
      <x:c r="D23" s="14"/>
      <x:c r="E23" s="14"/>
      <x:c r="F23" s="14"/>
      <x:c r="G23" s="14"/>
      <x:c r="H23" s="14"/>
      <x:c r="I23" s="14"/>
      <x:c r="J23" s="14"/>
      <x:c r="K23" s="14"/>
      <x:c r="L23" s="14"/>
      <x:c r="M23" s="14"/>
      <x:c r="N23" s="14"/>
      <x:c r="O23" s="14"/>
      <x:c r="P23" s="14"/>
      <x:c r="Q23" s="14"/>
      <x:c r="R23" s="14"/>
      <x:c r="S23" s="14"/>
      <x:c r="T23" s="14"/>
      <x:c r="U23" s="14"/>
      <x:c r="V23" s="14"/>
      <x:c r="W23" s="14"/>
      <x:c r="X23" s="14"/>
      <x:c r="Y23" s="14"/>
      <x:c r="Z23" s="14"/>
      <x:c r="AA23" s="14"/>
      <x:c r="AB23" s="14"/>
      <x:c r="AC23" s="14"/>
      <x:c r="AD23" s="14"/>
      <x:c r="AE23" s="14"/>
      <x:c r="AF23" s="14"/>
      <x:c r="AG23" s="14"/>
      <x:c r="AH23" s="14"/>
      <x:c r="AI23" s="14"/>
      <x:c r="AJ23" s="14"/>
      <x:c r="AK23" s="14"/>
      <x:c r="AL23" s="14"/>
    </x:row>
    <x:row r="24">
      <x:c r="A24" s="14"/>
      <x:c r="B24" s="14"/>
      <x:c r="C24" s="14"/>
      <x:c r="D24" s="14"/>
      <x:c r="E24" s="14"/>
      <x:c r="F24" s="14"/>
      <x:c r="G24" s="14"/>
      <x:c r="H24" s="14"/>
      <x:c r="I24" s="14"/>
      <x:c r="J24" s="14"/>
      <x:c r="K24" s="14"/>
      <x:c r="L24" s="14"/>
      <x:c r="M24" s="14"/>
      <x:c r="N24" s="14"/>
      <x:c r="O24" s="14"/>
      <x:c r="P24" s="14"/>
      <x:c r="Q24" s="14"/>
      <x:c r="R24" s="14"/>
      <x:c r="S24" s="14"/>
      <x:c r="T24" s="14"/>
      <x:c r="U24" s="14"/>
      <x:c r="V24" s="14"/>
      <x:c r="W24" s="14"/>
      <x:c r="X24" s="14"/>
      <x:c r="Y24" s="14"/>
      <x:c r="Z24" s="14"/>
      <x:c r="AA24" s="14"/>
      <x:c r="AB24" s="14"/>
      <x:c r="AC24" s="14"/>
      <x:c r="AD24" s="14"/>
      <x:c r="AE24" s="14"/>
      <x:c r="AF24" s="14"/>
      <x:c r="AG24" s="14"/>
      <x:c r="AH24" s="14"/>
      <x:c r="AI24" s="14"/>
      <x:c r="AJ24" s="14"/>
      <x:c r="AK24" s="14"/>
      <x:c r="AL24" s="14"/>
    </x:row>
    <x:row r="25">
      <x:c r="A25" s="14"/>
      <x:c r="B25" s="14"/>
      <x:c r="C25" s="14"/>
      <x:c r="D25" s="14"/>
      <x:c r="E25" s="14"/>
      <x:c r="F25" s="14"/>
      <x:c r="G25" s="14"/>
      <x:c r="H25" s="14"/>
      <x:c r="I25" s="14"/>
      <x:c r="J25" s="14"/>
      <x:c r="K25" s="14"/>
      <x:c r="L25" s="14"/>
      <x:c r="M25" s="14"/>
      <x:c r="N25" s="14"/>
      <x:c r="O25" s="14"/>
      <x:c r="P25" s="14"/>
      <x:c r="Q25" s="14"/>
      <x:c r="R25" s="14"/>
      <x:c r="S25" s="14"/>
      <x:c r="T25" s="14"/>
      <x:c r="U25" s="14"/>
      <x:c r="V25" s="14"/>
      <x:c r="W25" s="14"/>
      <x:c r="X25" s="14"/>
      <x:c r="Y25" s="14"/>
      <x:c r="Z25" s="14"/>
      <x:c r="AA25" s="14"/>
      <x:c r="AB25" s="14"/>
      <x:c r="AC25" s="14"/>
      <x:c r="AD25" s="14"/>
      <x:c r="AE25" s="14"/>
      <x:c r="AF25" s="14"/>
      <x:c r="AG25" s="14"/>
      <x:c r="AH25" s="14"/>
      <x:c r="AI25" s="14"/>
      <x:c r="AJ25" s="14"/>
      <x:c r="AK25" s="14"/>
      <x:c r="AL25" s="14"/>
    </x:row>
    <x:row r="26">
      <x:c r="A26" s="14"/>
      <x:c r="B26" s="14"/>
      <x:c r="C26" s="14"/>
      <x:c r="D26" s="14"/>
      <x:c r="E26" s="14"/>
      <x:c r="F26" s="14"/>
      <x:c r="G26" s="14"/>
      <x:c r="H26" s="14"/>
      <x:c r="I26" s="14"/>
      <x:c r="J26" s="14"/>
      <x:c r="K26" s="14"/>
      <x:c r="L26" s="14"/>
      <x:c r="M26" s="14"/>
      <x:c r="N26" s="14"/>
      <x:c r="O26" s="14"/>
      <x:c r="P26" s="14"/>
      <x:c r="Q26" s="14"/>
      <x:c r="R26" s="14"/>
      <x:c r="S26" s="14"/>
      <x:c r="T26" s="14"/>
      <x:c r="U26" s="14"/>
      <x:c r="V26" s="14"/>
      <x:c r="W26" s="14"/>
      <x:c r="X26" s="14"/>
      <x:c r="Y26" s="14"/>
      <x:c r="Z26" s="14"/>
      <x:c r="AA26" s="14"/>
      <x:c r="AB26" s="14"/>
      <x:c r="AC26" s="14"/>
      <x:c r="AD26" s="14"/>
      <x:c r="AE26" s="14"/>
      <x:c r="AF26" s="14"/>
      <x:c r="AG26" s="14"/>
      <x:c r="AH26" s="14"/>
      <x:c r="AI26" s="14"/>
      <x:c r="AJ26" s="14"/>
      <x:c r="AK26" s="14"/>
      <x:c r="AL26" s="14"/>
    </x:row>
    <x:row r="27">
      <x:c r="A27" s="14"/>
      <x:c r="B27" s="14"/>
      <x:c r="C27" s="14"/>
      <x:c r="D27" s="14"/>
      <x:c r="E27" s="14"/>
      <x:c r="F27" s="14"/>
      <x:c r="G27" s="14"/>
      <x:c r="H27" s="14"/>
      <x:c r="I27" s="14"/>
      <x:c r="J27" s="14"/>
      <x:c r="K27" s="14"/>
      <x:c r="L27" s="14"/>
      <x:c r="M27" s="14"/>
      <x:c r="N27" s="14"/>
      <x:c r="O27" s="14"/>
      <x:c r="P27" s="14"/>
      <x:c r="Q27" s="14"/>
      <x:c r="R27" s="14"/>
      <x:c r="S27" s="14"/>
      <x:c r="T27" s="14"/>
      <x:c r="U27" s="14"/>
      <x:c r="V27" s="14"/>
      <x:c r="W27" s="14"/>
      <x:c r="X27" s="14"/>
      <x:c r="Y27" s="14"/>
      <x:c r="Z27" s="14"/>
      <x:c r="AA27" s="14"/>
      <x:c r="AB27" s="14"/>
      <x:c r="AC27" s="14"/>
      <x:c r="AD27" s="14"/>
      <x:c r="AE27" s="14"/>
      <x:c r="AF27" s="14"/>
      <x:c r="AG27" s="14"/>
      <x:c r="AH27" s="14"/>
      <x:c r="AI27" s="14"/>
      <x:c r="AJ27" s="14"/>
      <x:c r="AK27" s="14"/>
      <x:c r="AL27" s="14"/>
    </x:row>
    <x:row r="28">
      <x:c r="A28" s="14"/>
      <x:c r="B28" s="14"/>
      <x:c r="C28" s="14"/>
      <x:c r="D28" s="14"/>
      <x:c r="E28" s="14"/>
      <x:c r="F28" s="14"/>
      <x:c r="G28" s="14"/>
      <x:c r="H28" s="14"/>
      <x:c r="I28" s="14"/>
      <x:c r="J28" s="14"/>
      <x:c r="K28" s="14"/>
      <x:c r="L28" s="14"/>
      <x:c r="M28" s="14"/>
      <x:c r="N28" s="14"/>
      <x:c r="O28" s="14"/>
      <x:c r="P28" s="14"/>
      <x:c r="Q28" s="14"/>
      <x:c r="R28" s="14"/>
      <x:c r="S28" s="14"/>
      <x:c r="T28" s="14"/>
      <x:c r="U28" s="14"/>
      <x:c r="V28" s="14"/>
      <x:c r="W28" s="14"/>
      <x:c r="X28" s="14"/>
      <x:c r="Y28" s="14"/>
      <x:c r="Z28" s="14"/>
      <x:c r="AA28" s="14"/>
      <x:c r="AB28" s="14"/>
      <x:c r="AC28" s="14"/>
      <x:c r="AD28" s="14"/>
      <x:c r="AE28" s="14"/>
      <x:c r="AF28" s="14"/>
      <x:c r="AG28" s="14"/>
      <x:c r="AH28" s="14"/>
      <x:c r="AI28" s="14"/>
      <x:c r="AJ28" s="14"/>
      <x:c r="AK28" s="14"/>
      <x:c r="AL28" s="14"/>
    </x:row>
    <x:row r="29">
      <x:c r="A29" s="14"/>
      <x:c r="B29" s="14"/>
      <x:c r="C29" s="14"/>
      <x:c r="D29" s="14"/>
      <x:c r="E29" s="14"/>
      <x:c r="F29" s="14"/>
      <x:c r="G29" s="14"/>
      <x:c r="H29" s="14"/>
      <x:c r="I29" s="14"/>
      <x:c r="J29" s="14"/>
      <x:c r="K29" s="14"/>
      <x:c r="L29" s="14"/>
      <x:c r="M29" s="14"/>
      <x:c r="N29" s="14"/>
      <x:c r="O29" s="14"/>
      <x:c r="P29" s="14"/>
      <x:c r="Q29" s="14"/>
      <x:c r="R29" s="14"/>
      <x:c r="S29" s="14"/>
      <x:c r="T29" s="14"/>
      <x:c r="U29" s="14"/>
      <x:c r="V29" s="14"/>
      <x:c r="W29" s="14"/>
      <x:c r="X29" s="14"/>
      <x:c r="Y29" s="14"/>
      <x:c r="Z29" s="14"/>
      <x:c r="AA29" s="14"/>
      <x:c r="AB29" s="14"/>
      <x:c r="AC29" s="14"/>
      <x:c r="AD29" s="14"/>
      <x:c r="AE29" s="14"/>
      <x:c r="AF29" s="14"/>
      <x:c r="AG29" s="14"/>
      <x:c r="AH29" s="14"/>
      <x:c r="AI29" s="14"/>
      <x:c r="AJ29" s="14"/>
      <x:c r="AK29" s="14"/>
      <x:c r="AL29" s="14"/>
    </x:row>
    <x:row r="30">
      <x:c r="A30" s="14"/>
      <x:c r="B30" s="14"/>
      <x:c r="C30" s="14"/>
      <x:c r="D30" s="14"/>
      <x:c r="E30" s="14"/>
      <x:c r="F30" s="14"/>
      <x:c r="G30" s="14"/>
      <x:c r="H30" s="14"/>
      <x:c r="I30" s="14"/>
      <x:c r="J30" s="14"/>
      <x:c r="K30" s="14"/>
      <x:c r="L30" s="14"/>
      <x:c r="M30" s="14"/>
      <x:c r="N30" s="14"/>
      <x:c r="O30" s="14"/>
      <x:c r="P30" s="14"/>
      <x:c r="Q30" s="14"/>
      <x:c r="R30" s="14"/>
      <x:c r="S30" s="14"/>
      <x:c r="T30" s="14"/>
      <x:c r="U30" s="14"/>
      <x:c r="V30" s="14"/>
      <x:c r="W30" s="14"/>
      <x:c r="X30" s="14"/>
      <x:c r="Y30" s="14"/>
      <x:c r="Z30" s="14"/>
      <x:c r="AA30" s="14"/>
      <x:c r="AB30" s="14"/>
      <x:c r="AC30" s="14"/>
      <x:c r="AD30" s="14"/>
      <x:c r="AE30" s="14"/>
      <x:c r="AF30" s="14"/>
      <x:c r="AG30" s="14"/>
      <x:c r="AH30" s="14"/>
      <x:c r="AI30" s="14"/>
      <x:c r="AJ30" s="14"/>
      <x:c r="AK30" s="14"/>
      <x:c r="AL30" s="14"/>
    </x:row>
    <x:row r="31">
      <x:c r="A31" s="14"/>
      <x:c r="B31" s="14"/>
      <x:c r="C31" s="14"/>
      <x:c r="D31" s="14"/>
      <x:c r="E31" s="14"/>
      <x:c r="F31" s="14"/>
      <x:c r="G31" s="14"/>
      <x:c r="H31" s="14"/>
      <x:c r="I31" s="14"/>
      <x:c r="J31" s="14"/>
      <x:c r="K31" s="14"/>
      <x:c r="L31" s="14"/>
      <x:c r="M31" s="14"/>
      <x:c r="N31" s="14"/>
      <x:c r="O31" s="14"/>
      <x:c r="P31" s="14"/>
      <x:c r="Q31" s="14"/>
      <x:c r="R31" s="14"/>
      <x:c r="S31" s="14"/>
      <x:c r="T31" s="14"/>
      <x:c r="U31" s="14"/>
      <x:c r="V31" s="14"/>
      <x:c r="W31" s="14"/>
      <x:c r="X31" s="14"/>
      <x:c r="Y31" s="14"/>
      <x:c r="Z31" s="14"/>
      <x:c r="AA31" s="14"/>
      <x:c r="AB31" s="14"/>
      <x:c r="AC31" s="14"/>
      <x:c r="AD31" s="14"/>
      <x:c r="AE31" s="14"/>
      <x:c r="AF31" s="14"/>
      <x:c r="AG31" s="14"/>
      <x:c r="AH31" s="14"/>
      <x:c r="AI31" s="14"/>
      <x:c r="AJ31" s="14"/>
      <x:c r="AK31" s="14"/>
      <x:c r="AL31" s="14"/>
    </x:row>
    <x:row r="32">
      <x:c r="A32" s="14"/>
      <x:c r="B32" s="14"/>
      <x:c r="C32" s="14"/>
      <x:c r="D32" s="14"/>
      <x:c r="E32" s="14"/>
      <x:c r="F32" s="14"/>
      <x:c r="G32" s="14"/>
      <x:c r="H32" s="14"/>
      <x:c r="I32" s="14"/>
      <x:c r="J32" s="14"/>
      <x:c r="K32" s="14"/>
      <x:c r="L32" s="14"/>
      <x:c r="M32" s="14"/>
      <x:c r="N32" s="14"/>
      <x:c r="O32" s="14"/>
      <x:c r="P32" s="14"/>
      <x:c r="Q32" s="14"/>
      <x:c r="R32" s="14"/>
      <x:c r="S32" s="14"/>
      <x:c r="T32" s="14"/>
      <x:c r="U32" s="14"/>
      <x:c r="V32" s="14"/>
      <x:c r="W32" s="14"/>
      <x:c r="X32" s="14"/>
      <x:c r="Y32" s="14"/>
      <x:c r="Z32" s="14"/>
      <x:c r="AA32" s="14"/>
      <x:c r="AB32" s="14"/>
      <x:c r="AC32" s="14"/>
      <x:c r="AD32" s="14"/>
      <x:c r="AE32" s="14"/>
      <x:c r="AF32" s="14"/>
      <x:c r="AG32" s="14"/>
      <x:c r="AH32" s="14"/>
      <x:c r="AI32" s="14"/>
      <x:c r="AJ32" s="14"/>
      <x:c r="AK32" s="14"/>
      <x:c r="AL32" s="14"/>
    </x:row>
    <x:row r="33">
      <x:c r="A33" s="14"/>
      <x:c r="B33" s="14"/>
      <x:c r="C33" s="14"/>
      <x:c r="D33" s="14"/>
      <x:c r="E33" s="14"/>
      <x:c r="F33" s="14"/>
      <x:c r="G33" s="14"/>
      <x:c r="H33" s="14"/>
      <x:c r="I33" s="14"/>
      <x:c r="J33" s="14"/>
      <x:c r="K33" s="14"/>
      <x:c r="L33" s="14"/>
      <x:c r="M33" s="14"/>
      <x:c r="N33" s="14"/>
      <x:c r="O33" s="14"/>
      <x:c r="P33" s="14"/>
      <x:c r="Q33" s="14"/>
      <x:c r="R33" s="14"/>
      <x:c r="S33" s="14"/>
      <x:c r="T33" s="14"/>
      <x:c r="U33" s="14"/>
      <x:c r="V33" s="14"/>
      <x:c r="W33" s="14"/>
      <x:c r="X33" s="14"/>
      <x:c r="Y33" s="14"/>
      <x:c r="Z33" s="14"/>
      <x:c r="AA33" s="14"/>
      <x:c r="AB33" s="14"/>
      <x:c r="AC33" s="14"/>
      <x:c r="AD33" s="14"/>
      <x:c r="AE33" s="14"/>
      <x:c r="AF33" s="14"/>
      <x:c r="AG33" s="14"/>
      <x:c r="AH33" s="14"/>
      <x:c r="AI33" s="14"/>
      <x:c r="AJ33" s="14"/>
      <x:c r="AK33" s="14"/>
      <x:c r="AL33" s="14"/>
    </x:row>
    <x:row r="34">
      <x:c r="A34" s="14"/>
      <x:c r="B34" s="14"/>
      <x:c r="C34" s="14"/>
      <x:c r="D34" s="14"/>
      <x:c r="E34" s="14"/>
      <x:c r="F34" s="14"/>
      <x:c r="G34" s="14"/>
      <x:c r="H34" s="14"/>
      <x:c r="I34" s="14"/>
      <x:c r="J34" s="14"/>
      <x:c r="K34" s="14"/>
      <x:c r="L34" s="14"/>
      <x:c r="M34" s="14"/>
      <x:c r="N34" s="14"/>
      <x:c r="O34" s="14"/>
      <x:c r="P34" s="14"/>
      <x:c r="Q34" s="14"/>
      <x:c r="R34" s="14"/>
      <x:c r="S34" s="14"/>
      <x:c r="T34" s="14"/>
      <x:c r="U34" s="14"/>
      <x:c r="V34" s="14"/>
      <x:c r="W34" s="14"/>
      <x:c r="X34" s="14"/>
      <x:c r="Y34" s="14"/>
      <x:c r="Z34" s="14"/>
      <x:c r="AA34" s="14"/>
      <x:c r="AB34" s="14"/>
      <x:c r="AC34" s="14"/>
      <x:c r="AD34" s="14"/>
      <x:c r="AE34" s="14"/>
      <x:c r="AF34" s="14"/>
      <x:c r="AG34" s="14"/>
      <x:c r="AH34" s="14"/>
      <x:c r="AI34" s="14"/>
      <x:c r="AJ34" s="14"/>
      <x:c r="AK34" s="14"/>
      <x:c r="AL34" s="14"/>
    </x:row>
    <x:row r="35">
      <x:c r="A35" s="14"/>
      <x:c r="B35" s="14"/>
      <x:c r="C35" s="14"/>
      <x:c r="D35" s="14"/>
      <x:c r="E35" s="14"/>
      <x:c r="F35" s="14"/>
      <x:c r="G35" s="14"/>
      <x:c r="H35" s="14"/>
      <x:c r="I35" s="14"/>
      <x:c r="J35" s="14"/>
      <x:c r="K35" s="14"/>
      <x:c r="L35" s="14"/>
      <x:c r="M35" s="14"/>
      <x:c r="N35" s="14"/>
      <x:c r="O35" s="14"/>
      <x:c r="P35" s="14"/>
      <x:c r="Q35" s="14"/>
      <x:c r="R35" s="14"/>
      <x:c r="S35" s="14"/>
      <x:c r="T35" s="14"/>
      <x:c r="U35" s="14"/>
      <x:c r="V35" s="14"/>
      <x:c r="W35" s="14"/>
      <x:c r="X35" s="14"/>
      <x:c r="Y35" s="14"/>
      <x:c r="Z35" s="14"/>
      <x:c r="AA35" s="14"/>
      <x:c r="AB35" s="14"/>
      <x:c r="AC35" s="14"/>
      <x:c r="AD35" s="14"/>
      <x:c r="AE35" s="14"/>
      <x:c r="AF35" s="14"/>
      <x:c r="AG35" s="14"/>
      <x:c r="AH35" s="14"/>
      <x:c r="AI35" s="14"/>
      <x:c r="AJ35" s="14"/>
      <x:c r="AK35" s="14"/>
      <x:c r="AL35" s="14"/>
    </x:row>
    <x:row r="36">
      <x:c r="A36" s="14"/>
      <x:c r="B36" s="14"/>
      <x:c r="C36" s="14"/>
      <x:c r="D36" s="14"/>
      <x:c r="E36" s="14"/>
      <x:c r="F36" s="14"/>
      <x:c r="G36" s="14"/>
      <x:c r="H36" s="14"/>
      <x:c r="I36" s="14"/>
      <x:c r="J36" s="14"/>
      <x:c r="K36" s="14"/>
      <x:c r="L36" s="14"/>
      <x:c r="M36" s="14"/>
      <x:c r="N36" s="14"/>
      <x:c r="O36" s="14"/>
      <x:c r="P36" s="14"/>
      <x:c r="Q36" s="14"/>
      <x:c r="R36" s="14"/>
      <x:c r="S36" s="14"/>
      <x:c r="T36" s="14"/>
      <x:c r="U36" s="14"/>
      <x:c r="V36" s="14"/>
      <x:c r="W36" s="14"/>
      <x:c r="X36" s="14"/>
      <x:c r="Y36" s="14"/>
      <x:c r="Z36" s="14"/>
      <x:c r="AA36" s="14"/>
      <x:c r="AB36" s="14"/>
      <x:c r="AC36" s="14"/>
      <x:c r="AD36" s="14"/>
      <x:c r="AE36" s="14"/>
      <x:c r="AF36" s="14"/>
      <x:c r="AG36" s="14"/>
      <x:c r="AH36" s="14"/>
      <x:c r="AI36" s="14"/>
      <x:c r="AJ36" s="14"/>
      <x:c r="AK36" s="14"/>
      <x:c r="AL36" s="14"/>
    </x:row>
    <x:row r="37">
      <x:c r="A37" s="14"/>
      <x:c r="B37" s="14"/>
      <x:c r="C37" s="14"/>
      <x:c r="D37" s="14"/>
      <x:c r="E37" s="14"/>
      <x:c r="F37" s="14"/>
      <x:c r="G37" s="14"/>
      <x:c r="H37" s="14"/>
      <x:c r="I37" s="14"/>
      <x:c r="J37" s="14"/>
      <x:c r="K37" s="14"/>
      <x:c r="L37" s="14"/>
      <x:c r="M37" s="14"/>
      <x:c r="N37" s="14"/>
      <x:c r="O37" s="14"/>
      <x:c r="P37" s="14"/>
      <x:c r="Q37" s="14"/>
      <x:c r="R37" s="14"/>
      <x:c r="S37" s="14"/>
      <x:c r="T37" s="14"/>
      <x:c r="U37" s="14"/>
      <x:c r="V37" s="14"/>
      <x:c r="W37" s="14"/>
      <x:c r="X37" s="14"/>
      <x:c r="Y37" s="14"/>
      <x:c r="Z37" s="14"/>
      <x:c r="AA37" s="14"/>
      <x:c r="AB37" s="14"/>
      <x:c r="AC37" s="14"/>
      <x:c r="AD37" s="14"/>
      <x:c r="AE37" s="14"/>
      <x:c r="AF37" s="14"/>
      <x:c r="AG37" s="14"/>
      <x:c r="AH37" s="14"/>
      <x:c r="AI37" s="14"/>
      <x:c r="AJ37" s="14"/>
      <x:c r="AK37" s="14"/>
      <x:c r="AL37" s="14"/>
    </x:row>
    <x:row r="38">
      <x:c r="A38" s="14"/>
      <x:c r="B38" s="14"/>
      <x:c r="C38" s="14"/>
      <x:c r="D38" s="14"/>
      <x:c r="E38" s="14"/>
      <x:c r="F38" s="14"/>
      <x:c r="G38" s="14"/>
      <x:c r="H38" s="14"/>
      <x:c r="I38" s="14"/>
      <x:c r="J38" s="14"/>
      <x:c r="K38" s="14"/>
      <x:c r="L38" s="14"/>
      <x:c r="M38" s="14"/>
      <x:c r="N38" s="14"/>
      <x:c r="O38" s="14"/>
      <x:c r="P38" s="14"/>
      <x:c r="Q38" s="14"/>
      <x:c r="R38" s="14"/>
      <x:c r="S38" s="14"/>
      <x:c r="T38" s="14"/>
      <x:c r="U38" s="14"/>
      <x:c r="V38" s="14"/>
      <x:c r="W38" s="14"/>
      <x:c r="X38" s="14"/>
      <x:c r="Y38" s="14"/>
      <x:c r="Z38" s="14"/>
      <x:c r="AA38" s="14"/>
      <x:c r="AB38" s="14"/>
      <x:c r="AC38" s="14"/>
      <x:c r="AD38" s="14"/>
      <x:c r="AE38" s="14"/>
      <x:c r="AF38" s="14"/>
      <x:c r="AG38" s="14"/>
      <x:c r="AH38" s="14"/>
      <x:c r="AI38" s="14"/>
      <x:c r="AJ38" s="14"/>
      <x:c r="AK38" s="14"/>
      <x:c r="AL38" s="14"/>
    </x:row>
    <x:row r="39">
      <x:c r="A39" s="14"/>
      <x:c r="B39" s="14"/>
      <x:c r="C39" s="14"/>
      <x:c r="D39" s="14"/>
      <x:c r="E39" s="14"/>
      <x:c r="F39" s="14"/>
      <x:c r="G39" s="14"/>
      <x:c r="H39" s="14"/>
      <x:c r="I39" s="14"/>
      <x:c r="J39" s="14"/>
      <x:c r="K39" s="14"/>
      <x:c r="L39" s="14"/>
      <x:c r="M39" s="14"/>
      <x:c r="N39" s="14"/>
      <x:c r="O39" s="14"/>
      <x:c r="P39" s="14"/>
      <x:c r="Q39" s="14"/>
      <x:c r="R39" s="14"/>
      <x:c r="S39" s="14"/>
      <x:c r="T39" s="14"/>
      <x:c r="U39" s="14"/>
      <x:c r="V39" s="14"/>
      <x:c r="W39" s="14"/>
      <x:c r="X39" s="14"/>
      <x:c r="Y39" s="14"/>
      <x:c r="Z39" s="14"/>
      <x:c r="AA39" s="14"/>
      <x:c r="AB39" s="14"/>
      <x:c r="AC39" s="14"/>
      <x:c r="AD39" s="14"/>
      <x:c r="AE39" s="14"/>
      <x:c r="AF39" s="14"/>
      <x:c r="AG39" s="14"/>
      <x:c r="AH39" s="14"/>
      <x:c r="AI39" s="14"/>
      <x:c r="AJ39" s="14"/>
      <x:c r="AK39" s="14"/>
      <x:c r="AL39" s="14"/>
    </x:row>
    <x:row r="40">
      <x:c r="A40" s="14"/>
      <x:c r="B40" s="14"/>
      <x:c r="C40" s="14"/>
      <x:c r="D40" s="14"/>
      <x:c r="E40" s="14"/>
      <x:c r="F40" s="14"/>
      <x:c r="G40" s="14"/>
      <x:c r="H40" s="14"/>
      <x:c r="I40" s="14"/>
      <x:c r="J40" s="14"/>
      <x:c r="K40" s="14"/>
      <x:c r="L40" s="14"/>
      <x:c r="M40" s="14"/>
      <x:c r="N40" s="14"/>
      <x:c r="O40" s="14"/>
      <x:c r="P40" s="14"/>
      <x:c r="Q40" s="14"/>
      <x:c r="R40" s="14"/>
      <x:c r="S40" s="14"/>
      <x:c r="T40" s="14"/>
      <x:c r="U40" s="14"/>
      <x:c r="V40" s="14"/>
      <x:c r="W40" s="14"/>
      <x:c r="X40" s="14"/>
      <x:c r="Y40" s="14"/>
      <x:c r="Z40" s="14"/>
      <x:c r="AA40" s="14"/>
      <x:c r="AB40" s="14"/>
      <x:c r="AC40" s="14"/>
      <x:c r="AD40" s="14"/>
      <x:c r="AE40" s="14"/>
      <x:c r="AF40" s="14"/>
      <x:c r="AG40" s="14"/>
      <x:c r="AH40" s="14"/>
      <x:c r="AI40" s="14"/>
      <x:c r="AJ40" s="14"/>
      <x:c r="AK40" s="14"/>
      <x:c r="AL40" s="14"/>
    </x:row>
    <x:row r="41">
      <x:c r="A41" s="14"/>
      <x:c r="B41" s="14"/>
      <x:c r="C41" s="14"/>
      <x:c r="D41" s="14"/>
      <x:c r="E41" s="14"/>
      <x:c r="F41" s="14"/>
      <x:c r="G41" s="14"/>
      <x:c r="H41" s="14"/>
      <x:c r="I41" s="14"/>
      <x:c r="J41" s="14"/>
      <x:c r="K41" s="14"/>
      <x:c r="L41" s="14"/>
      <x:c r="M41" s="14"/>
      <x:c r="N41" s="14"/>
      <x:c r="O41" s="14"/>
      <x:c r="P41" s="14"/>
      <x:c r="Q41" s="14"/>
      <x:c r="R41" s="14"/>
      <x:c r="S41" s="14"/>
      <x:c r="T41" s="14"/>
      <x:c r="U41" s="14"/>
      <x:c r="V41" s="14"/>
      <x:c r="W41" s="14"/>
      <x:c r="X41" s="14"/>
      <x:c r="Y41" s="14"/>
      <x:c r="Z41" s="14"/>
      <x:c r="AA41" s="14"/>
      <x:c r="AB41" s="14"/>
      <x:c r="AC41" s="14"/>
      <x:c r="AD41" s="14"/>
      <x:c r="AE41" s="14"/>
      <x:c r="AF41" s="14"/>
      <x:c r="AG41" s="14"/>
      <x:c r="AH41" s="14"/>
      <x:c r="AI41" s="14"/>
      <x:c r="AJ41" s="14"/>
      <x:c r="AK41" s="14"/>
      <x:c r="AL41" s="14"/>
    </x:row>
    <x:row r="42">
      <x:c r="A42" s="14"/>
      <x:c r="B42" s="14"/>
      <x:c r="C42" s="14"/>
      <x:c r="D42" s="14"/>
      <x:c r="E42" s="14"/>
      <x:c r="F42" s="14"/>
      <x:c r="G42" s="14"/>
      <x:c r="H42" s="14"/>
      <x:c r="I42" s="14"/>
      <x:c r="J42" s="14"/>
      <x:c r="K42" s="14"/>
      <x:c r="L42" s="14"/>
      <x:c r="M42" s="14"/>
      <x:c r="N42" s="14"/>
      <x:c r="O42" s="14"/>
      <x:c r="P42" s="14"/>
      <x:c r="Q42" s="14"/>
      <x:c r="R42" s="14"/>
      <x:c r="S42" s="14"/>
      <x:c r="T42" s="14"/>
      <x:c r="U42" s="14"/>
      <x:c r="V42" s="14"/>
      <x:c r="W42" s="14"/>
      <x:c r="X42" s="14"/>
      <x:c r="Y42" s="14"/>
      <x:c r="Z42" s="14"/>
      <x:c r="AA42" s="14"/>
      <x:c r="AB42" s="14"/>
      <x:c r="AC42" s="14"/>
      <x:c r="AD42" s="14"/>
      <x:c r="AE42" s="14"/>
      <x:c r="AF42" s="14"/>
      <x:c r="AG42" s="14"/>
      <x:c r="AH42" s="14"/>
      <x:c r="AI42" s="14"/>
      <x:c r="AJ42" s="14"/>
      <x:c r="AK42" s="14"/>
      <x:c r="AL42" s="14"/>
    </x:row>
    <x:row r="43">
      <x:c r="A43" s="14"/>
      <x:c r="B43" s="14"/>
      <x:c r="C43" s="14"/>
      <x:c r="D43" s="14"/>
      <x:c r="E43" s="14"/>
      <x:c r="F43" s="14"/>
      <x:c r="G43" s="14"/>
      <x:c r="H43" s="14"/>
      <x:c r="I43" s="14"/>
      <x:c r="J43" s="14"/>
      <x:c r="K43" s="14"/>
      <x:c r="L43" s="14"/>
      <x:c r="M43" s="14"/>
      <x:c r="N43" s="14"/>
      <x:c r="O43" s="14"/>
      <x:c r="P43" s="14"/>
      <x:c r="Q43" s="14"/>
      <x:c r="R43" s="14"/>
      <x:c r="S43" s="14"/>
      <x:c r="T43" s="14"/>
      <x:c r="U43" s="14"/>
      <x:c r="V43" s="14"/>
      <x:c r="W43" s="14"/>
      <x:c r="X43" s="14"/>
      <x:c r="Y43" s="14"/>
      <x:c r="Z43" s="14"/>
      <x:c r="AA43" s="14"/>
      <x:c r="AB43" s="14"/>
      <x:c r="AC43" s="14"/>
      <x:c r="AD43" s="14"/>
      <x:c r="AE43" s="14"/>
      <x:c r="AF43" s="14"/>
      <x:c r="AG43" s="14"/>
      <x:c r="AH43" s="14"/>
      <x:c r="AI43" s="14"/>
      <x:c r="AJ43" s="14"/>
      <x:c r="AK43" s="14"/>
      <x:c r="AL43" s="14"/>
    </x:row>
    <x:row r="44">
      <x:c r="A44" s="14"/>
      <x:c r="B44" s="14"/>
      <x:c r="C44" s="14"/>
      <x:c r="D44" s="14"/>
      <x:c r="E44" s="14"/>
      <x:c r="F44" s="14"/>
      <x:c r="G44" s="14"/>
      <x:c r="H44" s="14"/>
      <x:c r="I44" s="14"/>
      <x:c r="J44" s="14"/>
      <x:c r="K44" s="14"/>
      <x:c r="L44" s="14"/>
      <x:c r="M44" s="14"/>
      <x:c r="N44" s="14"/>
      <x:c r="O44" s="14"/>
      <x:c r="P44" s="14"/>
      <x:c r="Q44" s="14"/>
      <x:c r="R44" s="14"/>
      <x:c r="S44" s="14"/>
      <x:c r="T44" s="14"/>
      <x:c r="U44" s="14"/>
      <x:c r="V44" s="14"/>
      <x:c r="W44" s="14"/>
      <x:c r="X44" s="14"/>
      <x:c r="Y44" s="14"/>
      <x:c r="Z44" s="14"/>
      <x:c r="AA44" s="14"/>
      <x:c r="AB44" s="14"/>
      <x:c r="AC44" s="14"/>
      <x:c r="AD44" s="14"/>
      <x:c r="AE44" s="14"/>
      <x:c r="AF44" s="14"/>
      <x:c r="AG44" s="14"/>
      <x:c r="AH44" s="14"/>
      <x:c r="AI44" s="14"/>
      <x:c r="AJ44" s="14"/>
      <x:c r="AK44" s="14"/>
      <x:c r="AL44" s="14"/>
    </x:row>
    <x:row r="45">
      <x:c r="A45" s="14"/>
      <x:c r="B45" s="14"/>
      <x:c r="C45" s="14"/>
      <x:c r="D45" s="14"/>
      <x:c r="E45" s="14"/>
      <x:c r="F45" s="14"/>
      <x:c r="G45" s="14"/>
      <x:c r="H45" s="14"/>
      <x:c r="I45" s="14"/>
      <x:c r="J45" s="14"/>
      <x:c r="K45" s="14"/>
      <x:c r="L45" s="14"/>
      <x:c r="M45" s="14"/>
      <x:c r="N45" s="14"/>
      <x:c r="O45" s="14"/>
      <x:c r="P45" s="14"/>
      <x:c r="Q45" s="14"/>
      <x:c r="R45" s="14"/>
      <x:c r="S45" s="14"/>
      <x:c r="T45" s="14"/>
      <x:c r="U45" s="14"/>
      <x:c r="V45" s="14"/>
      <x:c r="W45" s="14"/>
      <x:c r="X45" s="14"/>
      <x:c r="Y45" s="14"/>
      <x:c r="Z45" s="14"/>
      <x:c r="AA45" s="14"/>
      <x:c r="AB45" s="14"/>
      <x:c r="AC45" s="14"/>
      <x:c r="AD45" s="14"/>
      <x:c r="AE45" s="14"/>
      <x:c r="AF45" s="14"/>
      <x:c r="AG45" s="14"/>
      <x:c r="AH45" s="14"/>
      <x:c r="AI45" s="14"/>
      <x:c r="AJ45" s="14"/>
      <x:c r="AK45" s="14"/>
      <x:c r="AL45" s="14"/>
    </x:row>
    <x:row r="46">
      <x:c r="A46" s="14"/>
      <x:c r="B46" s="14"/>
      <x:c r="C46" s="14"/>
      <x:c r="D46" s="14"/>
      <x:c r="E46" s="14"/>
      <x:c r="F46" s="14"/>
      <x:c r="G46" s="14"/>
      <x:c r="H46" s="14"/>
      <x:c r="I46" s="14"/>
      <x:c r="J46" s="14"/>
      <x:c r="K46" s="14"/>
      <x:c r="L46" s="14"/>
      <x:c r="M46" s="14"/>
      <x:c r="N46" s="14"/>
      <x:c r="O46" s="14"/>
      <x:c r="P46" s="14"/>
      <x:c r="Q46" s="14"/>
      <x:c r="R46" s="14"/>
      <x:c r="S46" s="14"/>
      <x:c r="T46" s="14"/>
      <x:c r="U46" s="14"/>
      <x:c r="V46" s="14"/>
      <x:c r="W46" s="14"/>
      <x:c r="X46" s="14"/>
      <x:c r="Y46" s="14"/>
      <x:c r="Z46" s="14"/>
      <x:c r="AA46" s="14"/>
      <x:c r="AB46" s="14"/>
      <x:c r="AC46" s="14"/>
      <x:c r="AD46" s="14"/>
      <x:c r="AE46" s="14"/>
      <x:c r="AF46" s="14"/>
      <x:c r="AG46" s="14"/>
      <x:c r="AH46" s="14"/>
      <x:c r="AI46" s="14"/>
      <x:c r="AJ46" s="14"/>
      <x:c r="AK46" s="14"/>
      <x:c r="AL46" s="14"/>
    </x:row>
    <x:row r="47">
      <x:c r="A47" s="14"/>
      <x:c r="B47" s="14"/>
      <x:c r="C47" s="14"/>
      <x:c r="D47" s="14"/>
      <x:c r="E47" s="14"/>
      <x:c r="F47" s="14"/>
      <x:c r="G47" s="14"/>
      <x:c r="H47" s="14"/>
      <x:c r="I47" s="14"/>
      <x:c r="J47" s="14"/>
      <x:c r="K47" s="14"/>
      <x:c r="L47" s="14"/>
      <x:c r="M47" s="14"/>
      <x:c r="N47" s="14"/>
      <x:c r="O47" s="14"/>
      <x:c r="P47" s="14"/>
      <x:c r="Q47" s="14"/>
      <x:c r="R47" s="14"/>
      <x:c r="S47" s="14"/>
      <x:c r="T47" s="14"/>
      <x:c r="U47" s="14"/>
      <x:c r="V47" s="14"/>
      <x:c r="W47" s="14"/>
      <x:c r="X47" s="14"/>
      <x:c r="Y47" s="14"/>
      <x:c r="Z47" s="14"/>
      <x:c r="AA47" s="14"/>
      <x:c r="AB47" s="14"/>
      <x:c r="AC47" s="14"/>
      <x:c r="AD47" s="14"/>
      <x:c r="AE47" s="14"/>
      <x:c r="AF47" s="14"/>
      <x:c r="AG47" s="14"/>
      <x:c r="AH47" s="14"/>
      <x:c r="AI47" s="14"/>
      <x:c r="AJ47" s="14"/>
      <x:c r="AK47" s="14"/>
      <x:c r="AL47" s="14"/>
    </x:row>
    <x:row r="48">
      <x:c r="A48" s="14"/>
      <x:c r="B48" s="14"/>
      <x:c r="C48" s="14"/>
      <x:c r="D48" s="14"/>
      <x:c r="E48" s="14"/>
      <x:c r="F48" s="14"/>
      <x:c r="G48" s="14"/>
      <x:c r="H48" s="14"/>
      <x:c r="I48" s="14"/>
      <x:c r="J48" s="14"/>
      <x:c r="K48" s="14"/>
      <x:c r="L48" s="14"/>
      <x:c r="M48" s="14"/>
      <x:c r="N48" s="14"/>
      <x:c r="O48" s="14"/>
      <x:c r="P48" s="14"/>
      <x:c r="Q48" s="14"/>
      <x:c r="R48" s="14"/>
      <x:c r="S48" s="14"/>
      <x:c r="T48" s="14"/>
      <x:c r="U48" s="14"/>
      <x:c r="V48" s="14"/>
      <x:c r="W48" s="14"/>
      <x:c r="X48" s="14"/>
      <x:c r="Y48" s="14"/>
      <x:c r="Z48" s="14"/>
      <x:c r="AA48" s="14"/>
      <x:c r="AB48" s="14"/>
      <x:c r="AC48" s="14"/>
      <x:c r="AD48" s="14"/>
      <x:c r="AE48" s="14"/>
      <x:c r="AF48" s="14"/>
      <x:c r="AG48" s="14"/>
      <x:c r="AH48" s="14"/>
      <x:c r="AI48" s="14"/>
      <x:c r="AJ48" s="14"/>
      <x:c r="AK48" s="14"/>
      <x:c r="AL48" s="14"/>
    </x:row>
    <x:row r="49">
      <x:c r="A49" s="14"/>
      <x:c r="B49" s="14"/>
      <x:c r="C49" s="14"/>
      <x:c r="D49" s="14"/>
      <x:c r="E49" s="14"/>
      <x:c r="F49" s="14"/>
      <x:c r="G49" s="14"/>
      <x:c r="H49" s="14"/>
      <x:c r="I49" s="14"/>
      <x:c r="J49" s="14"/>
      <x:c r="K49" s="14"/>
      <x:c r="L49" s="14"/>
      <x:c r="M49" s="14"/>
      <x:c r="N49" s="14"/>
      <x:c r="O49" s="14"/>
      <x:c r="P49" s="14"/>
      <x:c r="Q49" s="14"/>
      <x:c r="R49" s="14"/>
      <x:c r="S49" s="14"/>
      <x:c r="T49" s="14"/>
      <x:c r="U49" s="14"/>
      <x:c r="V49" s="14"/>
      <x:c r="W49" s="14"/>
      <x:c r="X49" s="14"/>
      <x:c r="Y49" s="14"/>
      <x:c r="Z49" s="14"/>
      <x:c r="AA49" s="14"/>
      <x:c r="AB49" s="14"/>
      <x:c r="AC49" s="14"/>
      <x:c r="AD49" s="14"/>
      <x:c r="AE49" s="14"/>
      <x:c r="AF49" s="14"/>
      <x:c r="AG49" s="14"/>
      <x:c r="AH49" s="14"/>
      <x:c r="AI49" s="14"/>
      <x:c r="AJ49" s="14"/>
      <x:c r="AK49" s="14"/>
      <x:c r="AL49" s="14"/>
    </x:row>
    <x:row r="50">
      <x:c r="A50" s="14"/>
      <x:c r="B50" s="14"/>
      <x:c r="C50" s="14"/>
      <x:c r="D50" s="14"/>
      <x:c r="E50" s="14"/>
      <x:c r="F50" s="14"/>
      <x:c r="G50" s="14"/>
      <x:c r="H50" s="14"/>
      <x:c r="I50" s="14"/>
      <x:c r="J50" s="14"/>
      <x:c r="K50" s="14"/>
      <x:c r="L50" s="14"/>
      <x:c r="M50" s="14"/>
      <x:c r="N50" s="14"/>
      <x:c r="O50" s="14"/>
      <x:c r="P50" s="14"/>
      <x:c r="Q50" s="14"/>
      <x:c r="R50" s="14"/>
      <x:c r="S50" s="14"/>
      <x:c r="T50" s="14"/>
      <x:c r="U50" s="14"/>
      <x:c r="V50" s="14"/>
      <x:c r="W50" s="14"/>
      <x:c r="X50" s="14"/>
      <x:c r="Y50" s="14"/>
      <x:c r="Z50" s="14"/>
      <x:c r="AA50" s="14"/>
      <x:c r="AB50" s="14"/>
      <x:c r="AC50" s="14"/>
      <x:c r="AD50" s="14"/>
      <x:c r="AE50" s="14"/>
      <x:c r="AF50" s="14"/>
      <x:c r="AG50" s="14"/>
      <x:c r="AH50" s="14"/>
      <x:c r="AI50" s="14"/>
      <x:c r="AJ50" s="14"/>
      <x:c r="AK50" s="14"/>
      <x:c r="AL50" s="14"/>
    </x:row>
    <x:row r="51">
      <x:c r="A51" s="14"/>
      <x:c r="B51" s="14"/>
      <x:c r="C51" s="14"/>
      <x:c r="D51" s="14"/>
      <x:c r="E51" s="14"/>
      <x:c r="F51" s="14"/>
      <x:c r="G51" s="14"/>
      <x:c r="H51" s="14"/>
      <x:c r="I51" s="14"/>
      <x:c r="J51" s="14"/>
      <x:c r="K51" s="14"/>
      <x:c r="L51" s="14"/>
      <x:c r="M51" s="14"/>
      <x:c r="N51" s="14"/>
      <x:c r="O51" s="14"/>
      <x:c r="P51" s="14"/>
      <x:c r="Q51" s="14"/>
      <x:c r="R51" s="14"/>
      <x:c r="S51" s="14"/>
      <x:c r="T51" s="14"/>
      <x:c r="U51" s="14"/>
      <x:c r="V51" s="14"/>
      <x:c r="W51" s="14"/>
      <x:c r="X51" s="14"/>
      <x:c r="Y51" s="14"/>
      <x:c r="Z51" s="14"/>
      <x:c r="AA51" s="14"/>
      <x:c r="AB51" s="14"/>
      <x:c r="AC51" s="14"/>
      <x:c r="AD51" s="14"/>
      <x:c r="AE51" s="14"/>
      <x:c r="AF51" s="14"/>
      <x:c r="AG51" s="14"/>
      <x:c r="AH51" s="14"/>
      <x:c r="AI51" s="14"/>
      <x:c r="AJ51" s="14"/>
      <x:c r="AK51" s="14"/>
      <x:c r="AL51" s="14"/>
    </x:row>
    <x:row r="52">
      <x:c r="A52" s="14"/>
      <x:c r="B52" s="14"/>
      <x:c r="C52" s="14"/>
      <x:c r="D52" s="14"/>
      <x:c r="E52" s="14"/>
      <x:c r="F52" s="14"/>
      <x:c r="G52" s="14"/>
      <x:c r="H52" s="14"/>
      <x:c r="I52" s="14"/>
      <x:c r="J52" s="14"/>
      <x:c r="K52" s="14"/>
      <x:c r="L52" s="14"/>
      <x:c r="M52" s="14"/>
      <x:c r="N52" s="14"/>
      <x:c r="O52" s="14"/>
      <x:c r="P52" s="14"/>
      <x:c r="Q52" s="14"/>
      <x:c r="R52" s="14"/>
      <x:c r="S52" s="14"/>
      <x:c r="T52" s="14"/>
      <x:c r="U52" s="14"/>
      <x:c r="V52" s="14"/>
      <x:c r="W52" s="14"/>
      <x:c r="X52" s="14"/>
      <x:c r="Y52" s="14"/>
      <x:c r="Z52" s="14"/>
      <x:c r="AA52" s="14"/>
      <x:c r="AB52" s="14"/>
      <x:c r="AC52" s="14"/>
      <x:c r="AD52" s="14"/>
      <x:c r="AE52" s="14"/>
      <x:c r="AF52" s="14"/>
      <x:c r="AG52" s="14"/>
      <x:c r="AH52" s="14"/>
      <x:c r="AI52" s="14"/>
      <x:c r="AJ52" s="14"/>
      <x:c r="AK52" s="14"/>
      <x:c r="AL52" s="14"/>
    </x:row>
    <x:row r="53">
      <x:c r="A53" s="14"/>
      <x:c r="B53" s="14"/>
      <x:c r="C53" s="14"/>
      <x:c r="D53" s="14"/>
      <x:c r="E53" s="14"/>
      <x:c r="F53" s="14"/>
      <x:c r="G53" s="14"/>
      <x:c r="H53" s="14"/>
      <x:c r="I53" s="14"/>
      <x:c r="J53" s="14"/>
      <x:c r="K53" s="14"/>
      <x:c r="L53" s="14"/>
      <x:c r="M53" s="14"/>
      <x:c r="N53" s="14"/>
      <x:c r="O53" s="14"/>
      <x:c r="P53" s="14"/>
      <x:c r="Q53" s="14"/>
      <x:c r="R53" s="14"/>
      <x:c r="S53" s="14"/>
      <x:c r="T53" s="14"/>
      <x:c r="U53" s="14"/>
      <x:c r="V53" s="14"/>
      <x:c r="W53" s="14"/>
      <x:c r="X53" s="14"/>
      <x:c r="Y53" s="14"/>
      <x:c r="Z53" s="14"/>
      <x:c r="AA53" s="14"/>
      <x:c r="AB53" s="14"/>
      <x:c r="AC53" s="14"/>
      <x:c r="AD53" s="14"/>
      <x:c r="AE53" s="14"/>
      <x:c r="AF53" s="14"/>
      <x:c r="AG53" s="14"/>
      <x:c r="AH53" s="14"/>
      <x:c r="AI53" s="14"/>
      <x:c r="AJ53" s="14"/>
      <x:c r="AK53" s="14"/>
      <x:c r="AL53" s="14"/>
    </x:row>
    <x:row r="54">
      <x:c r="A54" s="14"/>
      <x:c r="B54" s="14"/>
      <x:c r="C54" s="14"/>
      <x:c r="D54" s="14"/>
      <x:c r="E54" s="14"/>
      <x:c r="F54" s="14"/>
      <x:c r="G54" s="14"/>
      <x:c r="H54" s="14"/>
      <x:c r="I54" s="14"/>
      <x:c r="J54" s="14"/>
      <x:c r="K54" s="14"/>
      <x:c r="L54" s="14"/>
      <x:c r="M54" s="14"/>
      <x:c r="N54" s="14"/>
      <x:c r="O54" s="14"/>
      <x:c r="P54" s="14"/>
      <x:c r="Q54" s="14"/>
      <x:c r="R54" s="14"/>
      <x:c r="S54" s="14"/>
      <x:c r="T54" s="14"/>
      <x:c r="U54" s="14"/>
      <x:c r="V54" s="14"/>
      <x:c r="W54" s="14"/>
      <x:c r="X54" s="14"/>
      <x:c r="Y54" s="14"/>
      <x:c r="Z54" s="14"/>
      <x:c r="AA54" s="14"/>
      <x:c r="AB54" s="14"/>
      <x:c r="AC54" s="14"/>
      <x:c r="AD54" s="14"/>
      <x:c r="AE54" s="14"/>
      <x:c r="AF54" s="14"/>
      <x:c r="AG54" s="14"/>
      <x:c r="AH54" s="14"/>
      <x:c r="AI54" s="14"/>
      <x:c r="AJ54" s="14"/>
      <x:c r="AK54" s="14"/>
      <x:c r="AL54" s="14"/>
    </x:row>
    <x:row r="55">
      <x:c r="A55" s="14"/>
      <x:c r="B55" s="14"/>
      <x:c r="C55" s="14"/>
      <x:c r="D55" s="14"/>
      <x:c r="E55" s="14"/>
      <x:c r="F55" s="14"/>
      <x:c r="G55" s="14"/>
      <x:c r="H55" s="14"/>
      <x:c r="I55" s="14"/>
      <x:c r="J55" s="14"/>
      <x:c r="K55" s="14"/>
      <x:c r="L55" s="14"/>
      <x:c r="M55" s="14"/>
      <x:c r="N55" s="14"/>
      <x:c r="O55" s="14"/>
      <x:c r="P55" s="14"/>
      <x:c r="Q55" s="14"/>
      <x:c r="R55" s="14"/>
      <x:c r="S55" s="14"/>
      <x:c r="T55" s="14"/>
      <x:c r="U55" s="14"/>
      <x:c r="V55" s="14"/>
      <x:c r="W55" s="14"/>
      <x:c r="X55" s="14"/>
      <x:c r="Y55" s="14"/>
      <x:c r="Z55" s="14"/>
      <x:c r="AA55" s="14"/>
      <x:c r="AB55" s="14"/>
      <x:c r="AC55" s="14"/>
      <x:c r="AD55" s="14"/>
      <x:c r="AE55" s="14"/>
      <x:c r="AF55" s="14"/>
      <x:c r="AG55" s="14"/>
      <x:c r="AH55" s="14"/>
      <x:c r="AI55" s="14"/>
      <x:c r="AJ55" s="14"/>
      <x:c r="AK55" s="14"/>
      <x:c r="AL55" s="14"/>
    </x:row>
    <x:row r="56">
      <x:c r="A56" s="14"/>
      <x:c r="B56" s="14"/>
      <x:c r="C56" s="14"/>
      <x:c r="D56" s="14"/>
      <x:c r="E56" s="14"/>
      <x:c r="F56" s="14"/>
      <x:c r="G56" s="14"/>
      <x:c r="H56" s="14"/>
      <x:c r="I56" s="14"/>
      <x:c r="J56" s="14"/>
      <x:c r="K56" s="14"/>
      <x:c r="L56" s="14"/>
      <x:c r="M56" s="14"/>
      <x:c r="N56" s="14"/>
      <x:c r="O56" s="14"/>
      <x:c r="P56" s="14"/>
      <x:c r="Q56" s="14"/>
      <x:c r="R56" s="14"/>
      <x:c r="S56" s="14"/>
      <x:c r="T56" s="14"/>
      <x:c r="U56" s="14"/>
      <x:c r="V56" s="14"/>
      <x:c r="W56" s="14"/>
      <x:c r="X56" s="14"/>
      <x:c r="Y56" s="14"/>
      <x:c r="Z56" s="14"/>
      <x:c r="AA56" s="14"/>
      <x:c r="AB56" s="14"/>
      <x:c r="AC56" s="14"/>
      <x:c r="AD56" s="14"/>
      <x:c r="AE56" s="14"/>
      <x:c r="AF56" s="14"/>
      <x:c r="AG56" s="14"/>
      <x:c r="AH56" s="14"/>
      <x:c r="AI56" s="14"/>
      <x:c r="AJ56" s="14"/>
      <x:c r="AK56" s="14"/>
      <x:c r="AL56" s="14"/>
    </x:row>
    <x:row r="57">
      <x:c r="A57" s="14"/>
      <x:c r="B57" s="14"/>
      <x:c r="C57" s="14"/>
      <x:c r="D57" s="14"/>
      <x:c r="E57" s="14"/>
      <x:c r="F57" s="14"/>
      <x:c r="G57" s="14"/>
      <x:c r="H57" s="14"/>
      <x:c r="I57" s="14"/>
      <x:c r="J57" s="14"/>
      <x:c r="K57" s="14"/>
      <x:c r="L57" s="14"/>
      <x:c r="M57" s="14"/>
      <x:c r="N57" s="14"/>
      <x:c r="O57" s="14"/>
      <x:c r="P57" s="14"/>
      <x:c r="Q57" s="14"/>
      <x:c r="R57" s="14"/>
      <x:c r="S57" s="14"/>
      <x:c r="T57" s="14"/>
      <x:c r="U57" s="14"/>
      <x:c r="V57" s="14"/>
      <x:c r="W57" s="14"/>
      <x:c r="X57" s="14"/>
      <x:c r="Y57" s="14"/>
      <x:c r="Z57" s="14"/>
      <x:c r="AA57" s="14"/>
      <x:c r="AB57" s="14"/>
      <x:c r="AC57" s="14"/>
      <x:c r="AD57" s="14"/>
      <x:c r="AE57" s="14"/>
      <x:c r="AF57" s="14"/>
      <x:c r="AG57" s="14"/>
      <x:c r="AH57" s="14"/>
      <x:c r="AI57" s="14"/>
      <x:c r="AJ57" s="14"/>
      <x:c r="AK57" s="14"/>
      <x:c r="AL57" s="14"/>
    </x:row>
    <x:row r="58">
      <x:c r="A58" s="14"/>
      <x:c r="B58" s="14"/>
      <x:c r="C58" s="14"/>
      <x:c r="D58" s="14"/>
      <x:c r="E58" s="14"/>
      <x:c r="F58" s="14"/>
      <x:c r="G58" s="14"/>
      <x:c r="H58" s="14"/>
      <x:c r="I58" s="14"/>
      <x:c r="J58" s="14"/>
      <x:c r="K58" s="14"/>
      <x:c r="L58" s="14"/>
      <x:c r="M58" s="14"/>
      <x:c r="N58" s="14"/>
      <x:c r="O58" s="14"/>
      <x:c r="P58" s="14"/>
      <x:c r="Q58" s="14"/>
      <x:c r="R58" s="14"/>
      <x:c r="S58" s="14"/>
      <x:c r="T58" s="14"/>
      <x:c r="U58" s="14"/>
      <x:c r="V58" s="14"/>
      <x:c r="W58" s="14"/>
      <x:c r="X58" s="14"/>
      <x:c r="Y58" s="14"/>
      <x:c r="Z58" s="14"/>
      <x:c r="AA58" s="14"/>
      <x:c r="AB58" s="14"/>
      <x:c r="AC58" s="14"/>
      <x:c r="AD58" s="14"/>
      <x:c r="AE58" s="14"/>
      <x:c r="AF58" s="14"/>
      <x:c r="AG58" s="14"/>
      <x:c r="AH58" s="14"/>
      <x:c r="AI58" s="14"/>
      <x:c r="AJ58" s="14"/>
      <x:c r="AK58" s="14"/>
      <x:c r="AL58" s="14"/>
    </x:row>
    <x:row r="59">
      <x:c r="A59" s="14"/>
      <x:c r="B59" s="14"/>
      <x:c r="C59" s="14"/>
      <x:c r="D59" s="14"/>
      <x:c r="E59" s="14"/>
      <x:c r="F59" s="14"/>
      <x:c r="G59" s="14"/>
      <x:c r="H59" s="14"/>
      <x:c r="I59" s="14"/>
      <x:c r="J59" s="14"/>
      <x:c r="K59" s="14"/>
      <x:c r="L59" s="14"/>
      <x:c r="M59" s="14"/>
      <x:c r="N59" s="14"/>
      <x:c r="O59" s="14"/>
      <x:c r="P59" s="14"/>
      <x:c r="Q59" s="14"/>
      <x:c r="R59" s="14"/>
      <x:c r="S59" s="14"/>
      <x:c r="T59" s="14"/>
      <x:c r="U59" s="14"/>
      <x:c r="V59" s="14"/>
      <x:c r="W59" s="14"/>
      <x:c r="X59" s="14"/>
      <x:c r="Y59" s="14"/>
      <x:c r="Z59" s="14"/>
      <x:c r="AA59" s="14"/>
      <x:c r="AB59" s="14"/>
      <x:c r="AC59" s="14"/>
      <x:c r="AD59" s="14"/>
      <x:c r="AE59" s="14"/>
      <x:c r="AF59" s="14"/>
      <x:c r="AG59" s="14"/>
      <x:c r="AH59" s="14"/>
      <x:c r="AI59" s="14"/>
      <x:c r="AJ59" s="14"/>
      <x:c r="AK59" s="14"/>
      <x:c r="AL59" s="14"/>
    </x:row>
    <x:row r="60">
      <x:c r="A60" s="14"/>
      <x:c r="B60" s="14"/>
      <x:c r="C60" s="14"/>
      <x:c r="D60" s="14"/>
      <x:c r="E60" s="14"/>
      <x:c r="F60" s="14"/>
      <x:c r="G60" s="14"/>
      <x:c r="H60" s="14"/>
      <x:c r="I60" s="14"/>
      <x:c r="J60" s="14"/>
      <x:c r="K60" s="14"/>
      <x:c r="L60" s="14"/>
      <x:c r="M60" s="14"/>
      <x:c r="N60" s="14"/>
      <x:c r="O60" s="14"/>
      <x:c r="P60" s="14"/>
      <x:c r="Q60" s="14"/>
      <x:c r="R60" s="14"/>
      <x:c r="S60" s="14"/>
      <x:c r="T60" s="14"/>
      <x:c r="U60" s="14"/>
      <x:c r="V60" s="14"/>
      <x:c r="W60" s="14"/>
      <x:c r="X60" s="14"/>
      <x:c r="Y60" s="14"/>
      <x:c r="Z60" s="14"/>
      <x:c r="AA60" s="14"/>
      <x:c r="AB60" s="14"/>
      <x:c r="AC60" s="14"/>
      <x:c r="AD60" s="14"/>
      <x:c r="AE60" s="14"/>
      <x:c r="AF60" s="14"/>
      <x:c r="AG60" s="14"/>
      <x:c r="AH60" s="14"/>
      <x:c r="AI60" s="14"/>
      <x:c r="AJ60" s="14"/>
      <x:c r="AK60" s="14"/>
      <x:c r="AL60" s="14"/>
    </x:row>
    <x:row r="61">
      <x:c r="A61" s="14"/>
      <x:c r="B61" s="14"/>
      <x:c r="C61" s="14"/>
      <x:c r="D61" s="14"/>
      <x:c r="E61" s="14"/>
      <x:c r="F61" s="14"/>
      <x:c r="G61" s="14"/>
      <x:c r="H61" s="14"/>
      <x:c r="I61" s="14"/>
      <x:c r="J61" s="14"/>
      <x:c r="K61" s="14"/>
      <x:c r="L61" s="14"/>
      <x:c r="M61" s="14"/>
      <x:c r="N61" s="14"/>
      <x:c r="O61" s="14"/>
      <x:c r="P61" s="14"/>
      <x:c r="Q61" s="14"/>
      <x:c r="R61" s="14"/>
      <x:c r="S61" s="14"/>
      <x:c r="T61" s="14"/>
      <x:c r="U61" s="14"/>
      <x:c r="V61" s="14"/>
      <x:c r="W61" s="14"/>
      <x:c r="X61" s="14"/>
      <x:c r="Y61" s="14"/>
      <x:c r="Z61" s="14"/>
      <x:c r="AA61" s="14"/>
      <x:c r="AB61" s="14"/>
      <x:c r="AC61" s="14"/>
      <x:c r="AD61" s="14"/>
      <x:c r="AE61" s="14"/>
      <x:c r="AF61" s="14"/>
      <x:c r="AG61" s="14"/>
      <x:c r="AH61" s="14"/>
      <x:c r="AI61" s="14"/>
      <x:c r="AJ61" s="14"/>
      <x:c r="AK61" s="14"/>
      <x:c r="AL61" s="14"/>
    </x:row>
    <x:row r="62">
      <x:c r="A62" s="14"/>
      <x:c r="B62" s="14"/>
      <x:c r="C62" s="14"/>
      <x:c r="D62" s="14"/>
      <x:c r="E62" s="14"/>
      <x:c r="F62" s="14"/>
      <x:c r="G62" s="14"/>
      <x:c r="H62" s="14"/>
      <x:c r="I62" s="14"/>
      <x:c r="J62" s="14"/>
      <x:c r="K62" s="14"/>
      <x:c r="L62" s="14"/>
      <x:c r="M62" s="14"/>
      <x:c r="N62" s="14"/>
      <x:c r="O62" s="14"/>
      <x:c r="P62" s="14"/>
      <x:c r="Q62" s="14"/>
      <x:c r="R62" s="14"/>
      <x:c r="S62" s="14"/>
      <x:c r="T62" s="14"/>
      <x:c r="U62" s="14"/>
      <x:c r="V62" s="14"/>
      <x:c r="W62" s="14"/>
      <x:c r="X62" s="14"/>
      <x:c r="Y62" s="14"/>
      <x:c r="Z62" s="14"/>
      <x:c r="AA62" s="14"/>
      <x:c r="AB62" s="14"/>
      <x:c r="AC62" s="14"/>
      <x:c r="AD62" s="14"/>
      <x:c r="AE62" s="14"/>
      <x:c r="AF62" s="14"/>
      <x:c r="AG62" s="14"/>
      <x:c r="AH62" s="14"/>
      <x:c r="AI62" s="14"/>
      <x:c r="AJ62" s="14"/>
      <x:c r="AK62" s="14"/>
      <x:c r="AL62" s="14"/>
    </x:row>
    <x:row r="63">
      <x:c r="A63" s="14"/>
      <x:c r="B63" s="14"/>
      <x:c r="C63" s="14"/>
      <x:c r="D63" s="14"/>
      <x:c r="E63" s="14"/>
      <x:c r="F63" s="14"/>
      <x:c r="G63" s="14"/>
      <x:c r="H63" s="14"/>
      <x:c r="I63" s="14"/>
      <x:c r="J63" s="14"/>
      <x:c r="K63" s="14"/>
      <x:c r="L63" s="14"/>
      <x:c r="M63" s="14"/>
      <x:c r="N63" s="14"/>
      <x:c r="O63" s="14"/>
      <x:c r="P63" s="14"/>
      <x:c r="Q63" s="14"/>
      <x:c r="R63" s="14"/>
      <x:c r="S63" s="14"/>
      <x:c r="T63" s="14"/>
      <x:c r="U63" s="14"/>
      <x:c r="V63" s="14"/>
      <x:c r="W63" s="14"/>
      <x:c r="X63" s="14"/>
      <x:c r="Y63" s="14"/>
      <x:c r="Z63" s="14"/>
      <x:c r="AA63" s="14"/>
      <x:c r="AB63" s="14"/>
      <x:c r="AC63" s="14"/>
      <x:c r="AD63" s="14"/>
      <x:c r="AE63" s="14"/>
      <x:c r="AF63" s="14"/>
      <x:c r="AG63" s="14"/>
      <x:c r="AH63" s="14"/>
      <x:c r="AI63" s="14"/>
      <x:c r="AJ63" s="14"/>
      <x:c r="AK63" s="14"/>
      <x:c r="AL63" s="14"/>
    </x:row>
    <x:row r="64">
      <x:c r="A64" s="14"/>
      <x:c r="B64" s="14"/>
      <x:c r="C64" s="14"/>
      <x:c r="D64" s="14"/>
      <x:c r="E64" s="14"/>
      <x:c r="F64" s="14"/>
      <x:c r="G64" s="14"/>
      <x:c r="H64" s="14"/>
      <x:c r="I64" s="14"/>
      <x:c r="J64" s="14"/>
      <x:c r="K64" s="14"/>
      <x:c r="L64" s="14"/>
      <x:c r="M64" s="14"/>
      <x:c r="N64" s="14"/>
      <x:c r="O64" s="14"/>
      <x:c r="P64" s="14"/>
      <x:c r="Q64" s="14"/>
      <x:c r="R64" s="14"/>
      <x:c r="S64" s="14"/>
      <x:c r="T64" s="14"/>
      <x:c r="U64" s="14"/>
      <x:c r="V64" s="14"/>
      <x:c r="W64" s="14"/>
      <x:c r="X64" s="14"/>
      <x:c r="Y64" s="14"/>
      <x:c r="Z64" s="14"/>
      <x:c r="AA64" s="14"/>
      <x:c r="AB64" s="14"/>
      <x:c r="AC64" s="14"/>
      <x:c r="AD64" s="14"/>
      <x:c r="AE64" s="14"/>
      <x:c r="AF64" s="14"/>
      <x:c r="AG64" s="14"/>
      <x:c r="AH64" s="14"/>
      <x:c r="AI64" s="14"/>
      <x:c r="AJ64" s="14"/>
      <x:c r="AK64" s="14"/>
      <x:c r="AL64" s="14"/>
    </x:row>
    <x:row r="65">
      <x:c r="A65" s="14"/>
      <x:c r="B65" s="14"/>
      <x:c r="C65" s="14"/>
      <x:c r="D65" s="14"/>
      <x:c r="E65" s="14"/>
      <x:c r="F65" s="14"/>
      <x:c r="G65" s="14"/>
      <x:c r="H65" s="14"/>
      <x:c r="I65" s="14"/>
      <x:c r="J65" s="14"/>
      <x:c r="K65" s="14"/>
      <x:c r="L65" s="14"/>
      <x:c r="M65" s="14"/>
      <x:c r="N65" s="14"/>
      <x:c r="O65" s="14"/>
      <x:c r="P65" s="14"/>
      <x:c r="Q65" s="14"/>
      <x:c r="R65" s="14"/>
      <x:c r="S65" s="14"/>
      <x:c r="T65" s="14"/>
      <x:c r="U65" s="14"/>
      <x:c r="V65" s="14"/>
      <x:c r="W65" s="14"/>
      <x:c r="X65" s="14"/>
      <x:c r="Y65" s="14"/>
      <x:c r="Z65" s="14"/>
      <x:c r="AA65" s="14"/>
      <x:c r="AB65" s="14"/>
      <x:c r="AC65" s="14"/>
      <x:c r="AD65" s="14"/>
      <x:c r="AE65" s="14"/>
      <x:c r="AF65" s="14"/>
      <x:c r="AG65" s="14"/>
      <x:c r="AH65" s="14"/>
      <x:c r="AI65" s="14"/>
      <x:c r="AJ65" s="14"/>
      <x:c r="AK65" s="14"/>
      <x:c r="AL65" s="14"/>
    </x:row>
    <x:row r="66">
      <x:c r="A66" s="14"/>
      <x:c r="B66" s="14"/>
      <x:c r="C66" s="14"/>
      <x:c r="D66" s="14"/>
      <x:c r="E66" s="14"/>
      <x:c r="F66" s="14"/>
      <x:c r="G66" s="14"/>
      <x:c r="H66" s="14"/>
      <x:c r="I66" s="14"/>
      <x:c r="J66" s="14"/>
      <x:c r="K66" s="14"/>
      <x:c r="L66" s="14"/>
      <x:c r="M66" s="14"/>
      <x:c r="N66" s="14"/>
      <x:c r="O66" s="14"/>
      <x:c r="P66" s="14"/>
      <x:c r="Q66" s="14"/>
      <x:c r="R66" s="14"/>
      <x:c r="S66" s="14"/>
      <x:c r="T66" s="14"/>
      <x:c r="U66" s="14"/>
      <x:c r="V66" s="14"/>
      <x:c r="W66" s="14"/>
      <x:c r="X66" s="14"/>
      <x:c r="Y66" s="14"/>
      <x:c r="Z66" s="14"/>
      <x:c r="AA66" s="14"/>
      <x:c r="AB66" s="14"/>
      <x:c r="AC66" s="14"/>
      <x:c r="AD66" s="14"/>
      <x:c r="AE66" s="14"/>
      <x:c r="AF66" s="14"/>
      <x:c r="AG66" s="14"/>
      <x:c r="AH66" s="14"/>
      <x:c r="AI66" s="14"/>
      <x:c r="AJ66" s="14"/>
      <x:c r="AK66" s="14"/>
      <x:c r="AL66" s="14"/>
    </x:row>
    <x:row r="67">
      <x:c r="A67" s="14"/>
      <x:c r="B67" s="14"/>
      <x:c r="C67" s="14"/>
      <x:c r="D67" s="14"/>
      <x:c r="E67" s="14"/>
      <x:c r="F67" s="14"/>
      <x:c r="G67" s="14"/>
      <x:c r="H67" s="14"/>
      <x:c r="I67" s="14"/>
      <x:c r="J67" s="14"/>
      <x:c r="K67" s="14"/>
      <x:c r="L67" s="14"/>
      <x:c r="M67" s="14"/>
      <x:c r="N67" s="14"/>
      <x:c r="O67" s="14"/>
      <x:c r="P67" s="14"/>
      <x:c r="Q67" s="14"/>
      <x:c r="R67" s="14"/>
      <x:c r="S67" s="14"/>
      <x:c r="T67" s="14"/>
      <x:c r="U67" s="14"/>
      <x:c r="V67" s="14"/>
      <x:c r="W67" s="14"/>
      <x:c r="X67" s="14"/>
      <x:c r="Y67" s="14"/>
      <x:c r="Z67" s="14"/>
      <x:c r="AA67" s="14"/>
      <x:c r="AB67" s="14"/>
      <x:c r="AC67" s="14"/>
      <x:c r="AD67" s="14"/>
      <x:c r="AE67" s="14"/>
      <x:c r="AF67" s="14"/>
      <x:c r="AG67" s="14"/>
      <x:c r="AH67" s="14"/>
      <x:c r="AI67" s="14"/>
      <x:c r="AJ67" s="14"/>
      <x:c r="AK67" s="14"/>
      <x:c r="AL67" s="14"/>
    </x:row>
    <x:row r="68">
      <x:c r="A68" s="14"/>
      <x:c r="B68" s="14"/>
      <x:c r="C68" s="14"/>
      <x:c r="D68" s="14"/>
      <x:c r="E68" s="14"/>
      <x:c r="F68" s="14"/>
      <x:c r="G68" s="14"/>
      <x:c r="H68" s="14"/>
      <x:c r="I68" s="14"/>
      <x:c r="J68" s="14"/>
      <x:c r="K68" s="14"/>
      <x:c r="L68" s="14"/>
      <x:c r="M68" s="14"/>
      <x:c r="N68" s="14"/>
      <x:c r="O68" s="14"/>
      <x:c r="P68" s="14"/>
      <x:c r="Q68" s="14"/>
      <x:c r="R68" s="14"/>
      <x:c r="S68" s="14"/>
      <x:c r="T68" s="14"/>
      <x:c r="U68" s="14"/>
      <x:c r="V68" s="14"/>
      <x:c r="W68" s="14"/>
      <x:c r="X68" s="14"/>
      <x:c r="Y68" s="14"/>
      <x:c r="Z68" s="14"/>
      <x:c r="AA68" s="14"/>
      <x:c r="AB68" s="14"/>
      <x:c r="AC68" s="14"/>
      <x:c r="AD68" s="14"/>
      <x:c r="AE68" s="14"/>
      <x:c r="AF68" s="14"/>
      <x:c r="AG68" s="14"/>
      <x:c r="AH68" s="14"/>
      <x:c r="AI68" s="14"/>
      <x:c r="AJ68" s="14"/>
      <x:c r="AK68" s="14"/>
      <x:c r="AL68" s="14"/>
    </x:row>
    <x:row r="69">
      <x:c r="A69" s="14"/>
      <x:c r="B69" s="14"/>
      <x:c r="C69" s="14"/>
      <x:c r="D69" s="14"/>
      <x:c r="E69" s="14"/>
      <x:c r="F69" s="14"/>
      <x:c r="G69" s="14"/>
      <x:c r="H69" s="14"/>
      <x:c r="I69" s="14"/>
      <x:c r="J69" s="14"/>
      <x:c r="K69" s="14"/>
      <x:c r="L69" s="14"/>
      <x:c r="M69" s="14"/>
      <x:c r="N69" s="14"/>
      <x:c r="O69" s="14"/>
      <x:c r="P69" s="14"/>
      <x:c r="Q69" s="14"/>
      <x:c r="R69" s="14"/>
      <x:c r="S69" s="14"/>
      <x:c r="T69" s="14"/>
      <x:c r="U69" s="14"/>
      <x:c r="V69" s="14"/>
      <x:c r="W69" s="14"/>
      <x:c r="X69" s="14"/>
      <x:c r="Y69" s="14"/>
      <x:c r="Z69" s="14"/>
      <x:c r="AA69" s="14"/>
      <x:c r="AB69" s="14"/>
      <x:c r="AC69" s="14"/>
      <x:c r="AD69" s="14"/>
      <x:c r="AE69" s="14"/>
      <x:c r="AF69" s="14"/>
      <x:c r="AG69" s="14"/>
      <x:c r="AH69" s="14"/>
      <x:c r="AI69" s="14"/>
      <x:c r="AJ69" s="14"/>
      <x:c r="AK69" s="14"/>
      <x:c r="AL69" s="14"/>
    </x:row>
    <x:row r="70">
      <x:c r="A70" s="14"/>
      <x:c r="B70" s="14"/>
      <x:c r="C70" s="14"/>
      <x:c r="D70" s="14"/>
      <x:c r="E70" s="14"/>
      <x:c r="F70" s="14"/>
      <x:c r="G70" s="14"/>
      <x:c r="H70" s="14"/>
      <x:c r="I70" s="14"/>
      <x:c r="J70" s="14"/>
      <x:c r="K70" s="14"/>
      <x:c r="L70" s="14"/>
      <x:c r="M70" s="14"/>
      <x:c r="N70" s="14"/>
      <x:c r="O70" s="14"/>
      <x:c r="P70" s="14"/>
      <x:c r="Q70" s="14"/>
      <x:c r="R70" s="14"/>
      <x:c r="S70" s="14"/>
      <x:c r="T70" s="14"/>
      <x:c r="U70" s="14"/>
      <x:c r="V70" s="14"/>
      <x:c r="W70" s="14"/>
      <x:c r="X70" s="14"/>
      <x:c r="Y70" s="14"/>
      <x:c r="Z70" s="14"/>
      <x:c r="AA70" s="14"/>
      <x:c r="AB70" s="14"/>
      <x:c r="AC70" s="14"/>
      <x:c r="AD70" s="14"/>
      <x:c r="AE70" s="14"/>
      <x:c r="AF70" s="14"/>
      <x:c r="AG70" s="14"/>
      <x:c r="AH70" s="14"/>
      <x:c r="AI70" s="14"/>
      <x:c r="AJ70" s="14"/>
      <x:c r="AK70" s="14"/>
      <x:c r="AL70" s="14"/>
    </x:row>
    <x:row r="71">
      <x:c r="A71" s="14"/>
      <x:c r="B71" s="14"/>
      <x:c r="C71" s="14"/>
      <x:c r="D71" s="14"/>
      <x:c r="E71" s="14"/>
      <x:c r="F71" s="14"/>
      <x:c r="G71" s="14"/>
      <x:c r="H71" s="14"/>
      <x:c r="I71" s="14"/>
      <x:c r="J71" s="14"/>
      <x:c r="K71" s="14"/>
      <x:c r="L71" s="14"/>
      <x:c r="M71" s="14"/>
      <x:c r="N71" s="14"/>
      <x:c r="O71" s="14"/>
      <x:c r="P71" s="14"/>
      <x:c r="Q71" s="14"/>
      <x:c r="R71" s="14"/>
      <x:c r="S71" s="14"/>
      <x:c r="T71" s="14"/>
      <x:c r="U71" s="14"/>
      <x:c r="V71" s="14"/>
      <x:c r="W71" s="14"/>
      <x:c r="X71" s="14"/>
      <x:c r="Y71" s="14"/>
      <x:c r="Z71" s="14"/>
      <x:c r="AA71" s="14"/>
      <x:c r="AB71" s="14"/>
      <x:c r="AC71" s="14"/>
      <x:c r="AD71" s="14"/>
      <x:c r="AE71" s="14"/>
      <x:c r="AF71" s="14"/>
      <x:c r="AG71" s="14"/>
      <x:c r="AH71" s="14"/>
      <x:c r="AI71" s="14"/>
      <x:c r="AJ71" s="14"/>
      <x:c r="AK71" s="14"/>
      <x:c r="AL71" s="14"/>
    </x:row>
    <x:row r="72">
      <x:c r="A72" s="14"/>
      <x:c r="B72" s="14"/>
      <x:c r="C72" s="14"/>
      <x:c r="D72" s="14"/>
      <x:c r="E72" s="14"/>
      <x:c r="F72" s="14"/>
      <x:c r="G72" s="14"/>
      <x:c r="H72" s="14"/>
      <x:c r="I72" s="14"/>
      <x:c r="J72" s="14"/>
      <x:c r="K72" s="14"/>
      <x:c r="L72" s="14"/>
      <x:c r="M72" s="14"/>
      <x:c r="N72" s="14"/>
      <x:c r="O72" s="14"/>
      <x:c r="P72" s="14"/>
      <x:c r="Q72" s="14"/>
      <x:c r="R72" s="14"/>
      <x:c r="S72" s="14"/>
      <x:c r="T72" s="14"/>
      <x:c r="U72" s="14"/>
      <x:c r="V72" s="14"/>
      <x:c r="W72" s="14"/>
      <x:c r="X72" s="14"/>
      <x:c r="Y72" s="14"/>
      <x:c r="Z72" s="14"/>
      <x:c r="AA72" s="14"/>
      <x:c r="AB72" s="14"/>
      <x:c r="AC72" s="14"/>
      <x:c r="AD72" s="14"/>
      <x:c r="AE72" s="14"/>
      <x:c r="AF72" s="14"/>
      <x:c r="AG72" s="14"/>
      <x:c r="AH72" s="14"/>
      <x:c r="AI72" s="14"/>
      <x:c r="AJ72" s="14"/>
      <x:c r="AK72" s="14"/>
      <x:c r="AL72" s="14"/>
    </x:row>
    <x:row r="73">
      <x:c r="A73" s="14"/>
      <x:c r="B73" s="14"/>
      <x:c r="C73" s="14"/>
      <x:c r="D73" s="14"/>
      <x:c r="E73" s="14"/>
      <x:c r="F73" s="14"/>
      <x:c r="G73" s="14"/>
      <x:c r="H73" s="14"/>
      <x:c r="I73" s="14"/>
      <x:c r="J73" s="14"/>
      <x:c r="K73" s="14"/>
      <x:c r="L73" s="14"/>
      <x:c r="M73" s="14"/>
      <x:c r="N73" s="14"/>
      <x:c r="O73" s="14"/>
      <x:c r="P73" s="14"/>
      <x:c r="Q73" s="14"/>
      <x:c r="R73" s="14"/>
      <x:c r="S73" s="14"/>
      <x:c r="T73" s="14"/>
      <x:c r="U73" s="14"/>
      <x:c r="V73" s="14"/>
      <x:c r="W73" s="14"/>
      <x:c r="X73" s="14"/>
      <x:c r="Y73" s="14"/>
      <x:c r="Z73" s="14"/>
      <x:c r="AA73" s="14"/>
      <x:c r="AB73" s="14"/>
      <x:c r="AC73" s="14"/>
      <x:c r="AD73" s="14"/>
      <x:c r="AE73" s="14"/>
      <x:c r="AF73" s="14"/>
      <x:c r="AG73" s="14"/>
      <x:c r="AH73" s="14"/>
      <x:c r="AI73" s="14"/>
      <x:c r="AJ73" s="14"/>
      <x:c r="AK73" s="14"/>
      <x:c r="AL73" s="14"/>
    </x:row>
    <x:row r="74">
      <x:c r="A74" s="14"/>
      <x:c r="B74" s="14"/>
      <x:c r="C74" s="14"/>
      <x:c r="D74" s="14"/>
      <x:c r="E74" s="14"/>
      <x:c r="F74" s="14"/>
      <x:c r="G74" s="14"/>
      <x:c r="H74" s="14"/>
      <x:c r="I74" s="14"/>
      <x:c r="J74" s="14"/>
      <x:c r="K74" s="14"/>
      <x:c r="L74" s="14"/>
      <x:c r="M74" s="14"/>
      <x:c r="N74" s="14"/>
      <x:c r="O74" s="14"/>
      <x:c r="P74" s="14"/>
      <x:c r="Q74" s="14"/>
      <x:c r="R74" s="14"/>
      <x:c r="S74" s="14"/>
      <x:c r="T74" s="14"/>
      <x:c r="U74" s="14"/>
      <x:c r="V74" s="14"/>
      <x:c r="W74" s="14"/>
      <x:c r="X74" s="14"/>
      <x:c r="Y74" s="14"/>
      <x:c r="Z74" s="14"/>
      <x:c r="AA74" s="14"/>
      <x:c r="AB74" s="14"/>
      <x:c r="AC74" s="14"/>
      <x:c r="AD74" s="14"/>
      <x:c r="AE74" s="14"/>
      <x:c r="AF74" s="14"/>
      <x:c r="AG74" s="14"/>
      <x:c r="AH74" s="14"/>
      <x:c r="AI74" s="14"/>
      <x:c r="AJ74" s="14"/>
      <x:c r="AK74" s="14"/>
      <x:c r="AL74" s="14"/>
    </x:row>
    <x:row r="75">
      <x:c r="A75" s="14"/>
      <x:c r="B75" s="14"/>
      <x:c r="C75" s="14"/>
      <x:c r="D75" s="14"/>
      <x:c r="E75" s="14"/>
      <x:c r="F75" s="14"/>
      <x:c r="G75" s="14"/>
      <x:c r="H75" s="14"/>
      <x:c r="I75" s="14"/>
      <x:c r="J75" s="14"/>
      <x:c r="K75" s="14"/>
      <x:c r="L75" s="14"/>
      <x:c r="M75" s="14"/>
      <x:c r="N75" s="14"/>
      <x:c r="O75" s="14"/>
      <x:c r="P75" s="14"/>
      <x:c r="Q75" s="14"/>
      <x:c r="R75" s="14"/>
      <x:c r="S75" s="14"/>
      <x:c r="T75" s="14"/>
      <x:c r="U75" s="14"/>
      <x:c r="V75" s="14"/>
      <x:c r="W75" s="14"/>
      <x:c r="X75" s="14"/>
      <x:c r="Y75" s="14"/>
      <x:c r="Z75" s="14"/>
      <x:c r="AA75" s="14"/>
      <x:c r="AB75" s="14"/>
      <x:c r="AC75" s="14"/>
      <x:c r="AD75" s="14"/>
      <x:c r="AE75" s="14"/>
      <x:c r="AF75" s="14"/>
      <x:c r="AG75" s="14"/>
      <x:c r="AH75" s="14"/>
      <x:c r="AI75" s="14"/>
      <x:c r="AJ75" s="14"/>
      <x:c r="AK75" s="14"/>
      <x:c r="AL75" s="14"/>
    </x:row>
    <x:row r="76">
      <x:c r="A76" s="14"/>
      <x:c r="B76" s="14"/>
      <x:c r="C76" s="14"/>
      <x:c r="D76" s="14"/>
      <x:c r="E76" s="14"/>
      <x:c r="F76" s="14"/>
      <x:c r="G76" s="14"/>
      <x:c r="H76" s="14"/>
      <x:c r="I76" s="14"/>
      <x:c r="J76" s="14"/>
      <x:c r="K76" s="14"/>
      <x:c r="L76" s="14"/>
      <x:c r="M76" s="14"/>
      <x:c r="N76" s="14"/>
      <x:c r="O76" s="14"/>
      <x:c r="P76" s="14"/>
      <x:c r="Q76" s="14"/>
      <x:c r="R76" s="14"/>
      <x:c r="S76" s="14"/>
      <x:c r="T76" s="14"/>
      <x:c r="U76" s="14"/>
      <x:c r="V76" s="14"/>
      <x:c r="W76" s="14"/>
      <x:c r="X76" s="14"/>
      <x:c r="Y76" s="14"/>
      <x:c r="Z76" s="14"/>
      <x:c r="AA76" s="14"/>
      <x:c r="AB76" s="14"/>
      <x:c r="AC76" s="14"/>
      <x:c r="AD76" s="14"/>
      <x:c r="AE76" s="14"/>
      <x:c r="AF76" s="14"/>
      <x:c r="AG76" s="14"/>
      <x:c r="AH76" s="14"/>
      <x:c r="AI76" s="14"/>
      <x:c r="AJ76" s="14"/>
      <x:c r="AK76" s="14"/>
      <x:c r="AL76" s="14"/>
    </x:row>
    <x:row r="77">
      <x:c r="A77" s="14"/>
      <x:c r="B77" s="14"/>
      <x:c r="C77" s="14"/>
      <x:c r="D77" s="14"/>
      <x:c r="E77" s="14"/>
      <x:c r="F77" s="14"/>
      <x:c r="G77" s="14"/>
      <x:c r="H77" s="14"/>
      <x:c r="I77" s="14"/>
      <x:c r="J77" s="14"/>
      <x:c r="K77" s="14"/>
      <x:c r="L77" s="14"/>
      <x:c r="M77" s="14"/>
      <x:c r="N77" s="14"/>
      <x:c r="O77" s="14"/>
      <x:c r="P77" s="14"/>
      <x:c r="Q77" s="14"/>
      <x:c r="R77" s="14"/>
      <x:c r="S77" s="14"/>
      <x:c r="T77" s="14"/>
      <x:c r="U77" s="14"/>
      <x:c r="V77" s="14"/>
      <x:c r="W77" s="14"/>
      <x:c r="X77" s="14"/>
      <x:c r="Y77" s="14"/>
      <x:c r="Z77" s="14"/>
      <x:c r="AA77" s="14"/>
      <x:c r="AB77" s="14"/>
      <x:c r="AC77" s="14"/>
      <x:c r="AD77" s="14"/>
      <x:c r="AE77" s="14"/>
      <x:c r="AF77" s="14"/>
      <x:c r="AG77" s="14"/>
      <x:c r="AH77" s="14"/>
      <x:c r="AI77" s="14"/>
      <x:c r="AJ77" s="14"/>
      <x:c r="AK77" s="14"/>
      <x:c r="AL77" s="14"/>
    </x:row>
    <x:row r="78">
      <x:c r="A78" s="14"/>
      <x:c r="B78" s="14"/>
      <x:c r="C78" s="14"/>
      <x:c r="D78" s="14"/>
      <x:c r="E78" s="14"/>
      <x:c r="F78" s="14"/>
      <x:c r="G78" s="14"/>
      <x:c r="H78" s="14"/>
      <x:c r="I78" s="14"/>
      <x:c r="J78" s="14"/>
      <x:c r="K78" s="14"/>
      <x:c r="L78" s="14"/>
      <x:c r="M78" s="14"/>
      <x:c r="N78" s="14"/>
      <x:c r="O78" s="14"/>
      <x:c r="P78" s="14"/>
      <x:c r="Q78" s="14"/>
      <x:c r="R78" s="14"/>
      <x:c r="S78" s="14"/>
      <x:c r="T78" s="14"/>
      <x:c r="U78" s="14"/>
      <x:c r="V78" s="14"/>
      <x:c r="W78" s="14"/>
      <x:c r="X78" s="14"/>
      <x:c r="Y78" s="14"/>
      <x:c r="Z78" s="14"/>
      <x:c r="AA78" s="14"/>
      <x:c r="AB78" s="14"/>
      <x:c r="AC78" s="14"/>
      <x:c r="AD78" s="14"/>
      <x:c r="AE78" s="14"/>
      <x:c r="AF78" s="14"/>
      <x:c r="AG78" s="14"/>
      <x:c r="AH78" s="14"/>
      <x:c r="AI78" s="14"/>
      <x:c r="AJ78" s="14"/>
      <x:c r="AK78" s="14"/>
      <x:c r="AL78" s="14"/>
    </x:row>
    <x:row r="79">
      <x:c r="A79" s="14"/>
      <x:c r="B79" s="14"/>
      <x:c r="C79" s="14"/>
      <x:c r="D79" s="14"/>
      <x:c r="E79" s="14"/>
      <x:c r="F79" s="14"/>
      <x:c r="G79" s="14"/>
      <x:c r="H79" s="14"/>
      <x:c r="I79" s="14"/>
      <x:c r="J79" s="14"/>
      <x:c r="K79" s="14"/>
      <x:c r="L79" s="14"/>
      <x:c r="M79" s="14"/>
      <x:c r="N79" s="14"/>
      <x:c r="O79" s="14"/>
      <x:c r="P79" s="14"/>
      <x:c r="Q79" s="14"/>
      <x:c r="R79" s="14"/>
      <x:c r="S79" s="14"/>
      <x:c r="T79" s="14"/>
      <x:c r="U79" s="14"/>
      <x:c r="V79" s="14"/>
      <x:c r="W79" s="14"/>
      <x:c r="X79" s="14"/>
      <x:c r="Y79" s="14"/>
      <x:c r="Z79" s="14"/>
      <x:c r="AA79" s="14"/>
      <x:c r="AB79" s="14"/>
      <x:c r="AC79" s="14"/>
      <x:c r="AD79" s="14"/>
      <x:c r="AE79" s="14"/>
      <x:c r="AF79" s="14"/>
      <x:c r="AG79" s="14"/>
      <x:c r="AH79" s="14"/>
      <x:c r="AI79" s="14"/>
      <x:c r="AJ79" s="14"/>
      <x:c r="AK79" s="14"/>
      <x:c r="AL79" s="14"/>
    </x:row>
    <x:row r="80">
      <x:c r="A80" s="14"/>
      <x:c r="B80" s="14"/>
      <x:c r="C80" s="14"/>
      <x:c r="D80" s="14"/>
      <x:c r="E80" s="14"/>
      <x:c r="F80" s="14"/>
      <x:c r="G80" s="14"/>
      <x:c r="H80" s="14"/>
      <x:c r="I80" s="14"/>
      <x:c r="J80" s="14"/>
      <x:c r="K80" s="14"/>
      <x:c r="L80" s="14"/>
      <x:c r="M80" s="14"/>
      <x:c r="N80" s="14"/>
      <x:c r="O80" s="14"/>
      <x:c r="P80" s="14"/>
      <x:c r="Q80" s="14"/>
      <x:c r="R80" s="14"/>
      <x:c r="S80" s="14"/>
      <x:c r="T80" s="14"/>
      <x:c r="U80" s="14"/>
      <x:c r="V80" s="14"/>
      <x:c r="W80" s="14"/>
      <x:c r="X80" s="14"/>
      <x:c r="Y80" s="14"/>
      <x:c r="Z80" s="14"/>
      <x:c r="AA80" s="14"/>
      <x:c r="AB80" s="14"/>
      <x:c r="AC80" s="14"/>
      <x:c r="AD80" s="14"/>
      <x:c r="AE80" s="14"/>
      <x:c r="AF80" s="14"/>
      <x:c r="AG80" s="14"/>
      <x:c r="AH80" s="14"/>
      <x:c r="AI80" s="14"/>
      <x:c r="AJ80" s="14"/>
      <x:c r="AK80" s="14"/>
      <x:c r="AL80" s="14"/>
    </x:row>
    <x:row r="81">
      <x:c r="A81" s="14"/>
      <x:c r="B81" s="14"/>
      <x:c r="C81" s="14"/>
      <x:c r="D81" s="14"/>
      <x:c r="E81" s="14"/>
      <x:c r="F81" s="14"/>
      <x:c r="G81" s="14"/>
      <x:c r="H81" s="14"/>
      <x:c r="I81" s="14"/>
      <x:c r="J81" s="14"/>
      <x:c r="K81" s="14"/>
      <x:c r="L81" s="14"/>
      <x:c r="M81" s="14"/>
      <x:c r="N81" s="14"/>
      <x:c r="O81" s="14"/>
      <x:c r="P81" s="14"/>
      <x:c r="Q81" s="14"/>
      <x:c r="R81" s="14"/>
      <x:c r="S81" s="14"/>
      <x:c r="T81" s="14"/>
      <x:c r="U81" s="14"/>
      <x:c r="V81" s="14"/>
      <x:c r="W81" s="14"/>
      <x:c r="X81" s="14"/>
      <x:c r="Y81" s="14"/>
      <x:c r="Z81" s="14"/>
      <x:c r="AA81" s="14"/>
      <x:c r="AB81" s="14"/>
      <x:c r="AC81" s="14"/>
      <x:c r="AD81" s="14"/>
      <x:c r="AE81" s="14"/>
      <x:c r="AF81" s="14"/>
      <x:c r="AG81" s="14"/>
      <x:c r="AH81" s="14"/>
      <x:c r="AI81" s="14"/>
      <x:c r="AJ81" s="14"/>
      <x:c r="AK81" s="14"/>
      <x:c r="AL81" s="14"/>
    </x:row>
    <x:row r="82">
      <x:c r="A82" s="14"/>
      <x:c r="B82" s="14"/>
      <x:c r="C82" s="14"/>
      <x:c r="D82" s="14"/>
      <x:c r="E82" s="14"/>
      <x:c r="F82" s="14"/>
      <x:c r="G82" s="14"/>
      <x:c r="H82" s="14"/>
      <x:c r="I82" s="14"/>
      <x:c r="J82" s="14"/>
      <x:c r="K82" s="14"/>
      <x:c r="L82" s="14"/>
      <x:c r="M82" s="14"/>
      <x:c r="N82" s="14"/>
      <x:c r="O82" s="14"/>
      <x:c r="P82" s="14"/>
      <x:c r="Q82" s="14"/>
      <x:c r="R82" s="14"/>
      <x:c r="S82" s="14"/>
      <x:c r="T82" s="14"/>
      <x:c r="U82" s="14"/>
      <x:c r="V82" s="14"/>
      <x:c r="W82" s="14"/>
      <x:c r="X82" s="14"/>
      <x:c r="Y82" s="14"/>
      <x:c r="Z82" s="14"/>
      <x:c r="AA82" s="14"/>
      <x:c r="AB82" s="14"/>
      <x:c r="AC82" s="14"/>
      <x:c r="AD82" s="14"/>
      <x:c r="AE82" s="14"/>
      <x:c r="AF82" s="14"/>
      <x:c r="AG82" s="14"/>
      <x:c r="AH82" s="14"/>
      <x:c r="AI82" s="14"/>
      <x:c r="AJ82" s="14"/>
      <x:c r="AK82" s="14"/>
      <x:c r="AL82" s="14"/>
    </x:row>
    <x:row r="83">
      <x:c r="A83" s="14"/>
      <x:c r="B83" s="14"/>
      <x:c r="C83" s="14"/>
      <x:c r="D83" s="14"/>
      <x:c r="E83" s="14"/>
      <x:c r="F83" s="14"/>
      <x:c r="G83" s="14"/>
      <x:c r="H83" s="14"/>
      <x:c r="I83" s="14"/>
      <x:c r="J83" s="14"/>
      <x:c r="K83" s="14"/>
      <x:c r="L83" s="14"/>
      <x:c r="M83" s="14"/>
      <x:c r="N83" s="14"/>
      <x:c r="O83" s="14"/>
      <x:c r="P83" s="14"/>
      <x:c r="Q83" s="14"/>
      <x:c r="R83" s="14"/>
      <x:c r="S83" s="14"/>
      <x:c r="T83" s="14"/>
      <x:c r="U83" s="14"/>
      <x:c r="V83" s="14"/>
      <x:c r="W83" s="14"/>
      <x:c r="X83" s="14"/>
      <x:c r="Y83" s="14"/>
      <x:c r="Z83" s="14"/>
      <x:c r="AA83" s="14"/>
      <x:c r="AB83" s="14"/>
      <x:c r="AC83" s="14"/>
      <x:c r="AD83" s="14"/>
      <x:c r="AE83" s="14"/>
      <x:c r="AF83" s="14"/>
      <x:c r="AG83" s="14"/>
      <x:c r="AH83" s="14"/>
      <x:c r="AI83" s="14"/>
      <x:c r="AJ83" s="14"/>
      <x:c r="AK83" s="14"/>
      <x:c r="AL83" s="14"/>
    </x:row>
    <x:row r="84">
      <x:c r="A84" s="14"/>
      <x:c r="B84" s="14"/>
      <x:c r="C84" s="14"/>
      <x:c r="D84" s="14"/>
      <x:c r="E84" s="14"/>
      <x:c r="F84" s="14"/>
      <x:c r="G84" s="14"/>
      <x:c r="H84" s="14"/>
      <x:c r="I84" s="14"/>
      <x:c r="J84" s="14"/>
      <x:c r="K84" s="14"/>
      <x:c r="L84" s="14"/>
      <x:c r="M84" s="14"/>
      <x:c r="N84" s="14"/>
      <x:c r="O84" s="14"/>
      <x:c r="P84" s="14"/>
      <x:c r="Q84" s="14"/>
      <x:c r="R84" s="14"/>
      <x:c r="S84" s="14"/>
      <x:c r="T84" s="14"/>
      <x:c r="U84" s="14"/>
      <x:c r="V84" s="14"/>
      <x:c r="W84" s="14"/>
      <x:c r="X84" s="14"/>
      <x:c r="Y84" s="14"/>
      <x:c r="Z84" s="14"/>
      <x:c r="AA84" s="14"/>
      <x:c r="AB84" s="14"/>
      <x:c r="AC84" s="14"/>
      <x:c r="AD84" s="14"/>
      <x:c r="AE84" s="14"/>
      <x:c r="AF84" s="14"/>
      <x:c r="AG84" s="14"/>
      <x:c r="AH84" s="14"/>
      <x:c r="AI84" s="14"/>
      <x:c r="AJ84" s="14"/>
      <x:c r="AK84" s="14"/>
      <x:c r="AL84" s="14"/>
    </x:row>
    <x:row r="85">
      <x:c r="A85" s="14"/>
      <x:c r="B85" s="14"/>
      <x:c r="C85" s="14"/>
      <x:c r="D85" s="14"/>
      <x:c r="E85" s="14"/>
      <x:c r="F85" s="14"/>
      <x:c r="G85" s="14"/>
      <x:c r="H85" s="14"/>
      <x:c r="I85" s="14"/>
      <x:c r="J85" s="14"/>
      <x:c r="K85" s="14"/>
      <x:c r="L85" s="14"/>
      <x:c r="M85" s="14"/>
      <x:c r="N85" s="14"/>
      <x:c r="O85" s="14"/>
      <x:c r="P85" s="14"/>
      <x:c r="Q85" s="14"/>
      <x:c r="R85" s="14"/>
      <x:c r="S85" s="14"/>
      <x:c r="T85" s="14"/>
      <x:c r="U85" s="14"/>
      <x:c r="V85" s="14"/>
      <x:c r="W85" s="14"/>
      <x:c r="X85" s="14"/>
      <x:c r="Y85" s="14"/>
      <x:c r="Z85" s="14"/>
      <x:c r="AA85" s="14"/>
      <x:c r="AB85" s="14"/>
      <x:c r="AC85" s="14"/>
      <x:c r="AD85" s="14"/>
      <x:c r="AE85" s="14"/>
      <x:c r="AF85" s="14"/>
      <x:c r="AG85" s="14"/>
      <x:c r="AH85" s="14"/>
      <x:c r="AI85" s="14"/>
      <x:c r="AJ85" s="14"/>
      <x:c r="AK85" s="14"/>
      <x:c r="AL85" s="14"/>
    </x:row>
    <x:row r="86">
      <x:c r="A86" s="14"/>
      <x:c r="B86" s="14"/>
      <x:c r="C86" s="14"/>
      <x:c r="D86" s="14"/>
      <x:c r="E86" s="14"/>
      <x:c r="F86" s="14"/>
      <x:c r="G86" s="14"/>
      <x:c r="H86" s="14"/>
      <x:c r="I86" s="14"/>
      <x:c r="J86" s="14"/>
      <x:c r="K86" s="14"/>
      <x:c r="L86" s="14"/>
      <x:c r="M86" s="14"/>
      <x:c r="N86" s="14"/>
      <x:c r="O86" s="14"/>
      <x:c r="P86" s="14"/>
      <x:c r="Q86" s="14"/>
      <x:c r="R86" s="14"/>
      <x:c r="S86" s="14"/>
      <x:c r="T86" s="14"/>
      <x:c r="U86" s="14"/>
      <x:c r="V86" s="14"/>
      <x:c r="W86" s="14"/>
      <x:c r="X86" s="14"/>
      <x:c r="Y86" s="14"/>
      <x:c r="Z86" s="14"/>
      <x:c r="AA86" s="14"/>
      <x:c r="AB86" s="14"/>
      <x:c r="AC86" s="14"/>
      <x:c r="AD86" s="14"/>
      <x:c r="AE86" s="14"/>
      <x:c r="AF86" s="14"/>
      <x:c r="AG86" s="14"/>
      <x:c r="AH86" s="14"/>
      <x:c r="AI86" s="14"/>
      <x:c r="AJ86" s="14"/>
      <x:c r="AK86" s="14"/>
      <x:c r="AL86" s="14"/>
    </x:row>
    <x:row r="87">
      <x:c r="A87" s="14"/>
      <x:c r="B87" s="14"/>
      <x:c r="C87" s="14"/>
      <x:c r="D87" s="14"/>
      <x:c r="E87" s="14"/>
      <x:c r="F87" s="14"/>
      <x:c r="G87" s="14"/>
      <x:c r="H87" s="14"/>
      <x:c r="I87" s="14"/>
      <x:c r="J87" s="14"/>
      <x:c r="K87" s="14"/>
      <x:c r="L87" s="14"/>
      <x:c r="M87" s="14"/>
      <x:c r="N87" s="14"/>
      <x:c r="O87" s="14"/>
      <x:c r="P87" s="14"/>
      <x:c r="Q87" s="14"/>
      <x:c r="R87" s="14"/>
      <x:c r="S87" s="14"/>
      <x:c r="T87" s="14"/>
      <x:c r="U87" s="14"/>
      <x:c r="V87" s="14"/>
      <x:c r="W87" s="14"/>
      <x:c r="X87" s="14"/>
      <x:c r="Y87" s="14"/>
      <x:c r="Z87" s="14"/>
      <x:c r="AA87" s="14"/>
      <x:c r="AB87" s="14"/>
      <x:c r="AC87" s="14"/>
      <x:c r="AD87" s="14"/>
      <x:c r="AE87" s="14"/>
      <x:c r="AF87" s="14"/>
      <x:c r="AG87" s="14"/>
      <x:c r="AH87" s="14"/>
      <x:c r="AI87" s="14"/>
      <x:c r="AJ87" s="14"/>
      <x:c r="AK87" s="14"/>
      <x:c r="AL87" s="14"/>
    </x:row>
    <x:row r="88">
      <x:c r="A88" s="14"/>
      <x:c r="B88" s="14"/>
      <x:c r="C88" s="14"/>
      <x:c r="D88" s="14"/>
      <x:c r="E88" s="14"/>
      <x:c r="F88" s="14"/>
      <x:c r="G88" s="14"/>
      <x:c r="H88" s="14"/>
      <x:c r="I88" s="14"/>
      <x:c r="J88" s="14"/>
      <x:c r="K88" s="14"/>
      <x:c r="L88" s="14"/>
      <x:c r="M88" s="14"/>
      <x:c r="N88" s="14"/>
      <x:c r="O88" s="14"/>
      <x:c r="P88" s="14"/>
      <x:c r="Q88" s="14"/>
      <x:c r="R88" s="14"/>
      <x:c r="S88" s="14"/>
      <x:c r="T88" s="14"/>
      <x:c r="U88" s="14"/>
      <x:c r="V88" s="14"/>
      <x:c r="W88" s="14"/>
      <x:c r="X88" s="14"/>
      <x:c r="Y88" s="14"/>
      <x:c r="Z88" s="14"/>
      <x:c r="AA88" s="14"/>
      <x:c r="AB88" s="14"/>
      <x:c r="AC88" s="14"/>
      <x:c r="AD88" s="14"/>
      <x:c r="AE88" s="14"/>
      <x:c r="AF88" s="14"/>
      <x:c r="AG88" s="14"/>
      <x:c r="AH88" s="14"/>
      <x:c r="AI88" s="14"/>
      <x:c r="AJ88" s="14"/>
      <x:c r="AK88" s="14"/>
      <x:c r="AL88" s="14"/>
    </x:row>
    <x:row r="89">
      <x:c r="A89" s="14"/>
      <x:c r="B89" s="14"/>
      <x:c r="C89" s="14"/>
      <x:c r="D89" s="14"/>
      <x:c r="E89" s="14"/>
      <x:c r="F89" s="14"/>
      <x:c r="G89" s="14"/>
      <x:c r="H89" s="14"/>
      <x:c r="I89" s="14"/>
      <x:c r="J89" s="14"/>
      <x:c r="K89" s="14"/>
      <x:c r="L89" s="14"/>
      <x:c r="M89" s="14"/>
      <x:c r="N89" s="14"/>
      <x:c r="O89" s="14"/>
      <x:c r="P89" s="14"/>
      <x:c r="Q89" s="14"/>
      <x:c r="R89" s="14"/>
      <x:c r="S89" s="14"/>
      <x:c r="T89" s="14"/>
      <x:c r="U89" s="14"/>
      <x:c r="V89" s="14"/>
      <x:c r="W89" s="14"/>
      <x:c r="X89" s="14"/>
      <x:c r="Y89" s="14"/>
      <x:c r="Z89" s="14"/>
      <x:c r="AA89" s="14"/>
      <x:c r="AB89" s="14"/>
      <x:c r="AC89" s="14"/>
      <x:c r="AD89" s="14"/>
      <x:c r="AE89" s="14"/>
      <x:c r="AF89" s="14"/>
      <x:c r="AG89" s="14"/>
      <x:c r="AH89" s="14"/>
      <x:c r="AI89" s="14"/>
      <x:c r="AJ89" s="14"/>
      <x:c r="AK89" s="14"/>
      <x:c r="AL89" s="14"/>
    </x:row>
    <x:row r="90">
      <x:c r="A90" s="14"/>
      <x:c r="B90" s="14"/>
      <x:c r="C90" s="14"/>
      <x:c r="D90" s="14"/>
      <x:c r="E90" s="14"/>
      <x:c r="F90" s="14"/>
      <x:c r="G90" s="14"/>
      <x:c r="H90" s="14"/>
      <x:c r="I90" s="14"/>
      <x:c r="J90" s="14"/>
      <x:c r="K90" s="14"/>
      <x:c r="L90" s="14"/>
      <x:c r="M90" s="14"/>
      <x:c r="N90" s="14"/>
      <x:c r="O90" s="14"/>
      <x:c r="P90" s="14"/>
      <x:c r="Q90" s="14"/>
      <x:c r="R90" s="14"/>
      <x:c r="S90" s="14"/>
      <x:c r="T90" s="14"/>
      <x:c r="U90" s="14"/>
      <x:c r="V90" s="14"/>
      <x:c r="W90" s="14"/>
      <x:c r="X90" s="14"/>
      <x:c r="Y90" s="14"/>
      <x:c r="Z90" s="14"/>
      <x:c r="AA90" s="14"/>
      <x:c r="AB90" s="14"/>
      <x:c r="AC90" s="14"/>
      <x:c r="AD90" s="14"/>
      <x:c r="AE90" s="14"/>
      <x:c r="AF90" s="14"/>
      <x:c r="AG90" s="14"/>
      <x:c r="AH90" s="14"/>
      <x:c r="AI90" s="14"/>
      <x:c r="AJ90" s="14"/>
      <x:c r="AK90" s="14"/>
      <x:c r="AL90" s="14"/>
    </x:row>
    <x:row r="91">
      <x:c r="A91" s="14"/>
      <x:c r="B91" s="14"/>
      <x:c r="C91" s="14"/>
      <x:c r="D91" s="14"/>
      <x:c r="E91" s="14"/>
      <x:c r="F91" s="14"/>
      <x:c r="G91" s="14"/>
      <x:c r="H91" s="14"/>
      <x:c r="I91" s="14"/>
      <x:c r="J91" s="14"/>
      <x:c r="K91" s="14"/>
      <x:c r="L91" s="14"/>
      <x:c r="M91" s="14"/>
      <x:c r="N91" s="14"/>
      <x:c r="O91" s="14"/>
      <x:c r="P91" s="14"/>
      <x:c r="Q91" s="14"/>
      <x:c r="R91" s="14"/>
      <x:c r="S91" s="14"/>
      <x:c r="T91" s="14"/>
      <x:c r="U91" s="14"/>
      <x:c r="V91" s="14"/>
      <x:c r="W91" s="14"/>
      <x:c r="X91" s="14"/>
      <x:c r="Y91" s="14"/>
      <x:c r="Z91" s="14"/>
      <x:c r="AA91" s="14"/>
      <x:c r="AB91" s="14"/>
      <x:c r="AC91" s="14"/>
      <x:c r="AD91" s="14"/>
      <x:c r="AE91" s="14"/>
      <x:c r="AF91" s="14"/>
      <x:c r="AG91" s="14"/>
      <x:c r="AH91" s="14"/>
      <x:c r="AI91" s="14"/>
      <x:c r="AJ91" s="14"/>
      <x:c r="AK91" s="14"/>
      <x:c r="AL91" s="14"/>
    </x:row>
    <x:row r="92">
      <x:c r="A92" s="14"/>
      <x:c r="B92" s="14"/>
      <x:c r="C92" s="14"/>
      <x:c r="D92" s="14"/>
      <x:c r="E92" s="14"/>
      <x:c r="F92" s="14"/>
      <x:c r="G92" s="14"/>
      <x:c r="H92" s="14"/>
      <x:c r="I92" s="14"/>
      <x:c r="J92" s="14"/>
      <x:c r="K92" s="14"/>
      <x:c r="L92" s="14"/>
      <x:c r="M92" s="14"/>
      <x:c r="N92" s="14"/>
      <x:c r="O92" s="14"/>
      <x:c r="P92" s="14"/>
      <x:c r="Q92" s="14"/>
      <x:c r="R92" s="14"/>
      <x:c r="S92" s="14"/>
      <x:c r="T92" s="14"/>
      <x:c r="U92" s="14"/>
      <x:c r="V92" s="14"/>
      <x:c r="W92" s="14"/>
      <x:c r="X92" s="14"/>
      <x:c r="Y92" s="14"/>
      <x:c r="Z92" s="14"/>
      <x:c r="AA92" s="14"/>
      <x:c r="AB92" s="14"/>
      <x:c r="AC92" s="14"/>
      <x:c r="AD92" s="14"/>
      <x:c r="AE92" s="14"/>
      <x:c r="AF92" s="14"/>
      <x:c r="AG92" s="14"/>
      <x:c r="AH92" s="14"/>
      <x:c r="AI92" s="14"/>
      <x:c r="AJ92" s="14"/>
      <x:c r="AK92" s="14"/>
      <x:c r="AL92" s="14"/>
    </x:row>
    <x:row r="93">
      <x:c r="A93" s="14"/>
      <x:c r="B93" s="14"/>
      <x:c r="C93" s="14"/>
      <x:c r="D93" s="14"/>
      <x:c r="E93" s="14"/>
      <x:c r="F93" s="14"/>
      <x:c r="G93" s="14"/>
      <x:c r="H93" s="14"/>
      <x:c r="I93" s="14"/>
      <x:c r="J93" s="14"/>
      <x:c r="K93" s="14"/>
      <x:c r="L93" s="14"/>
      <x:c r="M93" s="14"/>
      <x:c r="N93" s="14"/>
      <x:c r="O93" s="14"/>
      <x:c r="P93" s="14"/>
      <x:c r="Q93" s="14"/>
      <x:c r="R93" s="14"/>
      <x:c r="S93" s="14"/>
      <x:c r="T93" s="14"/>
      <x:c r="U93" s="14"/>
      <x:c r="V93" s="14"/>
      <x:c r="W93" s="14"/>
      <x:c r="X93" s="14"/>
      <x:c r="Y93" s="14"/>
      <x:c r="Z93" s="14"/>
      <x:c r="AA93" s="14"/>
      <x:c r="AB93" s="14"/>
      <x:c r="AC93" s="14"/>
      <x:c r="AD93" s="14"/>
      <x:c r="AE93" s="14"/>
      <x:c r="AF93" s="14"/>
      <x:c r="AG93" s="14"/>
      <x:c r="AH93" s="14"/>
      <x:c r="AI93" s="14"/>
      <x:c r="AJ93" s="14"/>
      <x:c r="AK93" s="14"/>
      <x:c r="AL93" s="14"/>
    </x:row>
    <x:row r="94">
      <x:c r="A94" s="14"/>
      <x:c r="B94" s="14"/>
      <x:c r="C94" s="14"/>
      <x:c r="D94" s="14"/>
      <x:c r="E94" s="14"/>
      <x:c r="F94" s="14"/>
      <x:c r="G94" s="14"/>
      <x:c r="H94" s="14"/>
      <x:c r="I94" s="14"/>
      <x:c r="J94" s="14"/>
      <x:c r="K94" s="14"/>
      <x:c r="L94" s="14"/>
      <x:c r="M94" s="14"/>
      <x:c r="N94" s="14"/>
      <x:c r="O94" s="14"/>
      <x:c r="P94" s="14"/>
      <x:c r="Q94" s="14"/>
      <x:c r="R94" s="14"/>
      <x:c r="S94" s="14"/>
      <x:c r="T94" s="14"/>
      <x:c r="U94" s="14"/>
      <x:c r="V94" s="14"/>
      <x:c r="W94" s="14"/>
      <x:c r="X94" s="14"/>
      <x:c r="Y94" s="14"/>
      <x:c r="Z94" s="14"/>
      <x:c r="AA94" s="14"/>
      <x:c r="AB94" s="14"/>
      <x:c r="AC94" s="14"/>
      <x:c r="AD94" s="14"/>
      <x:c r="AE94" s="14"/>
      <x:c r="AF94" s="14"/>
      <x:c r="AG94" s="14"/>
      <x:c r="AH94" s="14"/>
      <x:c r="AI94" s="14"/>
      <x:c r="AJ94" s="14"/>
      <x:c r="AK94" s="14"/>
      <x:c r="AL94" s="14"/>
    </x:row>
    <x:row r="95">
      <x:c r="A95" s="14"/>
      <x:c r="B95" s="14"/>
      <x:c r="C95" s="14"/>
      <x:c r="D95" s="14"/>
      <x:c r="E95" s="14"/>
      <x:c r="F95" s="14"/>
      <x:c r="G95" s="14"/>
      <x:c r="H95" s="14"/>
      <x:c r="I95" s="14"/>
      <x:c r="J95" s="14"/>
      <x:c r="K95" s="14"/>
      <x:c r="L95" s="14"/>
      <x:c r="M95" s="14"/>
      <x:c r="N95" s="14"/>
      <x:c r="O95" s="14"/>
      <x:c r="P95" s="14"/>
      <x:c r="Q95" s="14"/>
      <x:c r="R95" s="14"/>
      <x:c r="S95" s="14"/>
      <x:c r="T95" s="14"/>
      <x:c r="U95" s="14"/>
      <x:c r="V95" s="14"/>
      <x:c r="W95" s="14"/>
      <x:c r="X95" s="14"/>
      <x:c r="Y95" s="14"/>
      <x:c r="Z95" s="14"/>
      <x:c r="AA95" s="14"/>
      <x:c r="AB95" s="14"/>
      <x:c r="AC95" s="14"/>
      <x:c r="AD95" s="14"/>
      <x:c r="AE95" s="14"/>
      <x:c r="AF95" s="14"/>
      <x:c r="AG95" s="14"/>
      <x:c r="AH95" s="14"/>
      <x:c r="AI95" s="14"/>
      <x:c r="AJ95" s="14"/>
      <x:c r="AK95" s="14"/>
      <x:c r="AL95" s="14"/>
    </x:row>
    <x:row r="96">
      <x:c r="A96" s="14"/>
      <x:c r="B96" s="14"/>
      <x:c r="C96" s="14"/>
      <x:c r="D96" s="14"/>
      <x:c r="E96" s="14"/>
      <x:c r="F96" s="14"/>
      <x:c r="G96" s="14"/>
      <x:c r="H96" s="14"/>
      <x:c r="I96" s="14"/>
      <x:c r="J96" s="14"/>
      <x:c r="K96" s="14"/>
      <x:c r="L96" s="14"/>
      <x:c r="M96" s="14"/>
      <x:c r="N96" s="14"/>
      <x:c r="O96" s="14"/>
      <x:c r="P96" s="14"/>
      <x:c r="Q96" s="14"/>
      <x:c r="R96" s="14"/>
      <x:c r="S96" s="14"/>
      <x:c r="T96" s="14"/>
      <x:c r="U96" s="14"/>
      <x:c r="V96" s="14"/>
      <x:c r="W96" s="14"/>
      <x:c r="X96" s="14"/>
      <x:c r="Y96" s="14"/>
      <x:c r="Z96" s="14"/>
      <x:c r="AA96" s="14"/>
      <x:c r="AB96" s="14"/>
      <x:c r="AC96" s="14"/>
      <x:c r="AD96" s="14"/>
      <x:c r="AE96" s="14"/>
      <x:c r="AF96" s="14"/>
      <x:c r="AG96" s="14"/>
      <x:c r="AH96" s="14"/>
      <x:c r="AI96" s="14"/>
      <x:c r="AJ96" s="14"/>
      <x:c r="AK96" s="14"/>
      <x:c r="AL96" s="14"/>
    </x:row>
    <x:row r="97">
      <x:c r="A97" s="14"/>
      <x:c r="B97" s="14"/>
      <x:c r="C97" s="14"/>
      <x:c r="D97" s="14"/>
      <x:c r="E97" s="14"/>
      <x:c r="F97" s="14"/>
      <x:c r="G97" s="14"/>
      <x:c r="H97" s="14"/>
      <x:c r="I97" s="14"/>
      <x:c r="J97" s="14"/>
      <x:c r="K97" s="14"/>
      <x:c r="L97" s="14"/>
      <x:c r="M97" s="14"/>
      <x:c r="N97" s="14"/>
      <x:c r="O97" s="14"/>
      <x:c r="P97" s="14"/>
      <x:c r="Q97" s="14"/>
      <x:c r="R97" s="14"/>
      <x:c r="S97" s="14"/>
      <x:c r="T97" s="14"/>
      <x:c r="U97" s="14"/>
      <x:c r="V97" s="14"/>
      <x:c r="W97" s="14"/>
      <x:c r="X97" s="14"/>
      <x:c r="Y97" s="14"/>
      <x:c r="Z97" s="14"/>
      <x:c r="AA97" s="14"/>
      <x:c r="AB97" s="14"/>
      <x:c r="AC97" s="14"/>
      <x:c r="AD97" s="14"/>
      <x:c r="AE97" s="14"/>
      <x:c r="AF97" s="14"/>
      <x:c r="AG97" s="14"/>
      <x:c r="AH97" s="14"/>
      <x:c r="AI97" s="14"/>
      <x:c r="AJ97" s="14"/>
      <x:c r="AK97" s="14"/>
      <x:c r="AL97" s="14"/>
    </x:row>
    <x:row r="98">
      <x:c r="A98" s="14"/>
      <x:c r="B98" s="14"/>
      <x:c r="C98" s="14"/>
      <x:c r="D98" s="14"/>
      <x:c r="E98" s="14"/>
      <x:c r="F98" s="14"/>
      <x:c r="G98" s="14"/>
      <x:c r="H98" s="14"/>
      <x:c r="I98" s="14"/>
      <x:c r="J98" s="14"/>
      <x:c r="K98" s="14"/>
      <x:c r="L98" s="14"/>
      <x:c r="M98" s="14"/>
      <x:c r="N98" s="14"/>
      <x:c r="O98" s="14"/>
      <x:c r="P98" s="14"/>
      <x:c r="Q98" s="14"/>
      <x:c r="R98" s="14"/>
      <x:c r="S98" s="14"/>
      <x:c r="T98" s="14"/>
      <x:c r="U98" s="14"/>
      <x:c r="V98" s="14"/>
      <x:c r="W98" s="14"/>
      <x:c r="X98" s="14"/>
      <x:c r="Y98" s="14"/>
      <x:c r="Z98" s="14"/>
      <x:c r="AA98" s="14"/>
      <x:c r="AB98" s="14"/>
      <x:c r="AC98" s="14"/>
      <x:c r="AD98" s="14"/>
      <x:c r="AE98" s="14"/>
      <x:c r="AF98" s="14"/>
      <x:c r="AG98" s="14"/>
      <x:c r="AH98" s="14"/>
      <x:c r="AI98" s="14"/>
      <x:c r="AJ98" s="14"/>
      <x:c r="AK98" s="14"/>
      <x:c r="AL98" s="14"/>
    </x:row>
    <x:row r="99">
      <x:c r="A99" s="14"/>
      <x:c r="B99" s="14"/>
      <x:c r="C99" s="14"/>
      <x:c r="D99" s="14"/>
      <x:c r="E99" s="14"/>
      <x:c r="F99" s="14"/>
      <x:c r="G99" s="14"/>
      <x:c r="H99" s="14"/>
      <x:c r="I99" s="14"/>
      <x:c r="J99" s="14"/>
      <x:c r="K99" s="14"/>
      <x:c r="L99" s="14"/>
      <x:c r="M99" s="14"/>
      <x:c r="N99" s="14"/>
      <x:c r="O99" s="14"/>
      <x:c r="P99" s="14"/>
      <x:c r="Q99" s="14"/>
      <x:c r="R99" s="14"/>
      <x:c r="S99" s="14"/>
      <x:c r="T99" s="14"/>
      <x:c r="U99" s="14"/>
      <x:c r="V99" s="14"/>
      <x:c r="W99" s="14"/>
      <x:c r="X99" s="14"/>
      <x:c r="Y99" s="14"/>
      <x:c r="Z99" s="14"/>
      <x:c r="AA99" s="14"/>
      <x:c r="AB99" s="14"/>
      <x:c r="AC99" s="14"/>
      <x:c r="AD99" s="14"/>
      <x:c r="AE99" s="14"/>
      <x:c r="AF99" s="14"/>
      <x:c r="AG99" s="14"/>
      <x:c r="AH99" s="14"/>
      <x:c r="AI99" s="14"/>
      <x:c r="AJ99" s="14"/>
      <x:c r="AK99" s="14"/>
      <x:c r="AL99" s="14"/>
    </x:row>
    <x:row r="100">
      <x:c r="A100" s="14"/>
      <x:c r="B100" s="14"/>
      <x:c r="C100" s="14"/>
      <x:c r="D100" s="14"/>
      <x:c r="E100" s="14"/>
      <x:c r="F100" s="14"/>
      <x:c r="G100" s="14"/>
      <x:c r="H100" s="14"/>
      <x:c r="I100" s="14"/>
      <x:c r="J100" s="14"/>
      <x:c r="K100" s="14"/>
      <x:c r="L100" s="14"/>
      <x:c r="M100" s="14"/>
      <x:c r="N100" s="14"/>
      <x:c r="O100" s="14"/>
      <x:c r="P100" s="14"/>
      <x:c r="Q100" s="14"/>
      <x:c r="R100" s="14"/>
      <x:c r="S100" s="14"/>
      <x:c r="T100" s="14"/>
      <x:c r="U100" s="14"/>
      <x:c r="V100" s="14"/>
      <x:c r="W100" s="14"/>
      <x:c r="X100" s="14"/>
      <x:c r="Y100" s="14"/>
      <x:c r="Z100" s="14"/>
      <x:c r="AA100" s="14"/>
      <x:c r="AB100" s="14"/>
      <x:c r="AC100" s="14"/>
      <x:c r="AD100" s="14"/>
      <x:c r="AE100" s="14"/>
      <x:c r="AF100" s="14"/>
      <x:c r="AG100" s="14"/>
      <x:c r="AH100" s="14"/>
      <x:c r="AI100" s="14"/>
      <x:c r="AJ100" s="14"/>
      <x:c r="AK100" s="14"/>
      <x:c r="AL100" s="14"/>
    </x:row>
  </x:sheetData>
  <x:pageMargins left="0.7" right="0.7" top="0.75" bottom="0.75" header="0.3" footer="0.3"/>
</x:worksheet>
</file>

<file path=xl/worksheets/sheet27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4" hidden="0" customWidth="1"/>
    <x:col min="3" max="3" width="22" hidden="0" customWidth="1"/>
    <x:col min="4" max="4" width="22" hidden="0" customWidth="1"/>
    <x:col min="5" max="5" width="36" hidden="0" customWidth="1"/>
    <x:col min="6" max="6" width="28" hidden="0" customWidth="1"/>
    <x:col min="16" max="16" width="36" hidden="0" customWidth="1"/>
    <x:col min="17" max="17" width="36" hidden="0" customWidth="1"/>
  </x:cols>
  <x:sheetData>
    <x:row r="1">
      <x:c r="A1" s="151" t="str">
        <x:v>run_id</x:v>
      </x:c>
      <x:c r="B1" s="151" t="str">
        <x:v>date</x:v>
      </x:c>
      <x:c r="C1" s="151" t="str">
        <x:v>source_family</x:v>
      </x:c>
      <x:c r="D1" s="151" t="str">
        <x:v>method</x:v>
      </x:c>
      <x:c r="E1" s="151" t="str">
        <x:v>scope</x:v>
      </x:c>
      <x:c r="F1" s="151" t="str">
        <x:v>queries_or_seeds</x:v>
      </x:c>
      <x:c r="G1" s="151" t="str">
        <x:v>screened_records</x:v>
      </x:c>
      <x:c r="H1" s="151" t="str">
        <x:v>new_paper_rows</x:v>
      </x:c>
      <x:c r="I1" s="151" t="str">
        <x:v>duplicate_hits</x:v>
      </x:c>
      <x:c r="J1" s="151" t="str">
        <x:v>excluded_or_boundary_hits</x:v>
      </x:c>
      <x:c r="K1" s="151" t="str">
        <x:v>new_A_nodes</x:v>
      </x:c>
      <x:c r="L1" s="151" t="str">
        <x:v>new_B_or_BC_candidates</x:v>
      </x:c>
      <x:c r="M1" s="151" t="str">
        <x:v>new_C_adjacent_candidates</x:v>
      </x:c>
      <x:c r="N1" s="151" t="str">
        <x:v>database_promotions</x:v>
      </x:c>
      <x:c r="O1" s="151" t="str">
        <x:v>saturation_status</x:v>
      </x:c>
      <x:c r="P1" s="151" t="str">
        <x:v>notes</x:v>
      </x:c>
      <x:c r="Q1" s="151" t="str">
        <x:v>next_action</x:v>
      </x:c>
    </x:row>
    <x:row r="2">
      <x:c r="A2" s="14" t="str">
        <x:v>RUN-ARXIV-v1.6</x:v>
      </x:c>
      <x:c r="B2" s="14" t="str">
        <x:v>2026-06-18</x:v>
      </x:c>
      <x:c r="C2" s="14" t="str">
        <x:v>arXiv keyword / web search</x:v>
      </x:c>
      <x:c r="D2" s="14" t="str">
        <x:v>manual web+arXiv search, de-duplicated against paper layer</x:v>
      </x:c>
      <x:c r="E2" s="14" t="str">
        <x:v>2024-2026 only; Rydberg + neutral atoms + optical tweezers/arrays + theory/adjacent</x:v>
      </x:c>
      <x:c r="F2" s="14" t="str">
        <x:v>Q-053..Q-063 plus duplicate checks Q-054/Q-064/Q-065</x:v>
      </x:c>
      <x:c r="G2" s="14" t="n">
        <x:v>13</x:v>
      </x:c>
      <x:c r="H2" s="14" t="n">
        <x:v>10</x:v>
      </x:c>
      <x:c r="I2" s="14" t="n">
        <x:v>3</x:v>
      </x:c>
      <x:c r="J2" s="14" t="n">
        <x:v>3</x:v>
      </x:c>
      <x:c r="K2" s="14" t="n">
        <x:v>0</x:v>
      </x:c>
      <x:c r="L2" s="14" t="n">
        <x:v>7</x:v>
      </x:c>
      <x:c r="M2" s="14" t="n">
        <x:v>3</x:v>
      </x:c>
      <x:c r="N2" s="14" t="n">
        <x:v>0</x:v>
      </x:c>
      <x:c r="O2" s="14" t="str">
        <x:v>not_saturated</x:v>
      </x:c>
      <x:c r="P2" s="14" t="str">
        <x:v>High duplicate rate begins to appear, but still discovers several B/C theory and adjacent nodes; not yet a stop condition.</x:v>
      </x:c>
      <x:c r="Q2" s="14" t="str">
        <x:v>Run API-backed query grid with actual hit counts and then normalize affiliations.</x:v>
      </x:c>
    </x:row>
    <x:row r="3">
      <x:c r="A3" s="14" t="str">
        <x:v>RUN-REVIEW-v1.6</x:v>
      </x:c>
      <x:c r="B3" s="14" t="str">
        <x:v>2026-06-18</x:v>
      </x:c>
      <x:c r="C3" s="14" t="str">
        <x:v>Review citation mining</x:v>
      </x:c>
      <x:c r="D3" s="14" t="str">
        <x:v>not run in this batch</x:v>
      </x:c>
      <x:c r="E3" s="14" t="str">
        <x:v>Core reviews and perspectives</x:v>
      </x:c>
      <x:c r="F3" s="14" t="str">
        <x:v>Review_Seeds pending</x:v>
      </x:c>
      <x:c r="G3" s="14" t="n">
        <x:v>0</x:v>
      </x:c>
      <x:c r="H3" s="14" t="n">
        <x:v>0</x:v>
      </x:c>
      <x:c r="I3" s="14" t="n">
        <x:v>0</x:v>
      </x:c>
      <x:c r="J3" s="14" t="n">
        <x:v>0</x:v>
      </x:c>
      <x:c r="K3" s="14" t="n">
        <x:v>0</x:v>
      </x:c>
      <x:c r="L3" s="14" t="n">
        <x:v>0</x:v>
      </x:c>
      <x:c r="M3" s="14" t="n">
        <x:v>0</x:v>
      </x:c>
      <x:c r="N3" s="14" t="n">
        <x:v>0</x:v>
      </x:c>
      <x:c r="O3" s="14" t="str">
        <x:v>not_started</x:v>
      </x:c>
      <x:c r="P3" s="14" t="str">
        <x:v>Still a major gap for exhaustion criteria.</x:v>
      </x:c>
      <x:c r="Q3" s="14" t="str">
        <x:v>Process Review_Seeds with reference counts and citing-work scan.</x:v>
      </x:c>
    </x:row>
    <x:row r="4">
      <x:c r="A4" s="14" t="str">
        <x:v>RUN-ROR-v1.6</x:v>
      </x:c>
      <x:c r="B4" s="14" t="str">
        <x:v>2026-06-18</x:v>
      </x:c>
      <x:c r="C4" s="14" t="str">
        <x:v>Institution normalization</x:v>
      </x:c>
      <x:c r="D4" s="14" t="str">
        <x:v>not run in this batch</x:v>
      </x:c>
      <x:c r="E4" s="14" t="str">
        <x:v>Database + PI aggregate</x:v>
      </x:c>
      <x:c r="F4" s="14" t="str">
        <x:v>All A/B rows</x:v>
      </x:c>
      <x:c r="G4" s="14" t="n">
        <x:v>0</x:v>
      </x:c>
      <x:c r="H4" s="14" t="n">
        <x:v>0</x:v>
      </x:c>
      <x:c r="I4" s="14" t="n">
        <x:v>0</x:v>
      </x:c>
      <x:c r="J4" s="14" t="n">
        <x:v>0</x:v>
      </x:c>
      <x:c r="K4" s="14" t="n">
        <x:v>0</x:v>
      </x:c>
      <x:c r="L4" s="14" t="n">
        <x:v>0</x:v>
      </x:c>
      <x:c r="M4" s="14" t="n">
        <x:v>0</x:v>
      </x:c>
      <x:c r="N4" s="14" t="n">
        <x:v>0</x:v>
      </x:c>
      <x:c r="O4" s="14" t="str">
        <x:v>not_started</x:v>
      </x:c>
      <x:c r="P4" s="14" t="str">
        <x:v>ROR normalization still mostly missing.</x:v>
      </x:c>
      <x:c r="Q4" s="14" t="str">
        <x:v>Run ROR/OpenAlex institution reconciliation.</x:v>
      </x:c>
    </x:row>
    <x:row r="5">
      <x:c r="A5" s="14" t="str">
        <x:v>RUN-COMPANY-v1.6</x:v>
      </x:c>
      <x:c r="B5" s="14" t="str">
        <x:v>2026-06-18</x:v>
      </x:c>
      <x:c r="C5" s="14" t="str">
        <x:v>Companies and national programs</x:v>
      </x:c>
      <x:c r="D5" s="14" t="str">
        <x:v>not run in this batch</x:v>
      </x:c>
      <x:c r="E5" s="14" t="str">
        <x:v>Neutral-atom/Rydberg companies, public programs, patents/jobs</x:v>
      </x:c>
      <x:c r="F5" s="14" t="str">
        <x:v>PASQAL, QuEra, Atom, Infleqtion, planqc, Sandia, DLR, BAQIS, China startups</x:v>
      </x:c>
      <x:c r="G5" s="14" t="n">
        <x:v>0</x:v>
      </x:c>
      <x:c r="H5" s="14" t="n">
        <x:v>0</x:v>
      </x:c>
      <x:c r="I5" s="14" t="n">
        <x:v>0</x:v>
      </x:c>
      <x:c r="J5" s="14" t="n">
        <x:v>0</x:v>
      </x:c>
      <x:c r="K5" s="14" t="n">
        <x:v>0</x:v>
      </x:c>
      <x:c r="L5" s="14" t="n">
        <x:v>0</x:v>
      </x:c>
      <x:c r="M5" s="14" t="n">
        <x:v>0</x:v>
      </x:c>
      <x:c r="N5" s="14" t="n">
        <x:v>0</x:v>
      </x:c>
      <x:c r="O5" s="14" t="str">
        <x:v>partial_only</x:v>
      </x:c>
      <x:c r="P5" s="14" t="str">
        <x:v>Existing company layer is seeded but not systematically exhausted.</x:v>
      </x:c>
      <x:c r="Q5" s="14" t="str">
        <x:v>Dedicated company/web/patent/job scan.</x:v>
      </x:c>
    </x:row>
    <x:row r="6">
      <x:c r="A6" s="14" t="str">
        <x:v>RUN-CLEANUP-v1.7</x:v>
      </x:c>
      <x:c r="B6" s="14" t="str">
        <x:v>2026-06-18</x:v>
      </x:c>
      <x:c r="C6" s="14" t="str">
        <x:v>Affiliation cleanup / promotion</x:v>
      </x:c>
      <x:c r="D6" s="14" t="str">
        <x:v>manual official-page + arXiv/APS source check</x:v>
      </x:c>
      <x:c r="E6" s="14" t="str">
        <x:v>v1.6 candidate rows ARXIV-PI-0085..0094</x:v>
      </x:c>
      <x:c r="F6" s="14" t="str">
        <x:v>Q-053..Q-063 candidates</x:v>
      </x:c>
      <x:c r="G6" s="14" t="n">
        <x:v>10</x:v>
      </x:c>
      <x:c r="H6" s="14" t="n">
        <x:v>0</x:v>
      </x:c>
      <x:c r="I6" s="14" t="n">
        <x:v>1</x:v>
      </x:c>
      <x:c r="J6" s="14" t="n">
        <x:v>2</x:v>
      </x:c>
      <x:c r="K6" s="14" t="n">
        <x:v>0</x:v>
      </x:c>
      <x:c r="L6" s="14" t="n">
        <x:v>5</x:v>
      </x:c>
      <x:c r="M6" s="14" t="n">
        <x:v>2</x:v>
      </x:c>
      <x:c r="N6" s="14" t="n">
        <x:v>7</x:v>
      </x:c>
      <x:c r="O6" s="14" t="str">
        <x:v>cleanup_done_not_source_saturated</x:v>
      </x:c>
      <x:c r="P6" s="14" t="str">
        <x:v>Converted v1.6 affiliation debt into 7 Database promotions and one existing match; no A-core nodes.</x:v>
      </x:c>
      <x:c r="Q6" s="14" t="str">
        <x:v>Run review-citation mining or API-backed query grid with counts.</x:v>
      </x:c>
    </x:row>
    <x:row r="7">
      <x:c r="A7" s="14" t="str">
        <x:v>RUN-ARXIV-GRID-v1.8</x:v>
      </x:c>
      <x:c r="B7" s="14" t="str">
        <x:v>2026-06-18</x:v>
      </x:c>
      <x:c r="C7" s="14" t="str">
        <x:v>arXiv keyword / reproducible grid pilot</x:v>
      </x:c>
      <x:c r="D7" s="14" t="str">
        <x:v>manual web/arXiv-index grid with query IDs; de-duplicated against paper layer</x:v>
      </x:c>
      <x:c r="E7" s="14" t="str">
        <x:v>2024-2026 only; core, QEC/control, calibration, interface and adjacent ML/theory</x:v>
      </x:c>
      <x:c r="F7" s="14" t="str">
        <x:v>Q-064..Q-074</x:v>
      </x:c>
      <x:c r="G7" s="14" t="n">
        <x:v>21</x:v>
      </x:c>
      <x:c r="H7" s="14" t="n">
        <x:v>11</x:v>
      </x:c>
      <x:c r="I7" s="14" t="n">
        <x:v>7</x:v>
      </x:c>
      <x:c r="J7" s="14" t="n">
        <x:v>3</x:v>
      </x:c>
      <x:c r="K7" s="14" t="n">
        <x:v>0</x:v>
      </x:c>
      <x:c r="L7" s="14" t="n">
        <x:v>3</x:v>
      </x:c>
      <x:c r="M7" s="14" t="n">
        <x:v>2</x:v>
      </x:c>
      <x:c r="N7" s="14" t="n">
        <x:v>0</x:v>
      </x:c>
      <x:c r="O7" s="14" t="str">
        <x:v>not_saturated_but_A_core_near_saturated</x:v>
      </x:c>
      <x:c r="P7" s="14" t="str">
        <x:v>No new A-core nodes; new signal is mostly B/C theory/control. This is the first grid-logged run, but exact API counts remain pending.</x:v>
      </x:c>
      <x:c r="Q7" s="14" t="str">
        <x:v>Run actual API-backed query grid with &gt;=50 screened hits per batch and mine REV-009 references.</x:v>
      </x:c>
    </x:row>
    <x:row r="8">
      <x:c r="A8" s="14" t="str">
        <x:v>RUN-REVIEW-SEED-v1.8</x:v>
      </x:c>
      <x:c r="B8" s="14" t="str">
        <x:v>2026-06-18</x:v>
      </x:c>
      <x:c r="C8" s="14" t="str">
        <x:v>Review/perspective discovery</x:v>
      </x:c>
      <x:c r="D8" s="14" t="str">
        <x:v>manual current-review web search</x:v>
      </x:c>
      <x:c r="E8" s="14" t="str">
        <x:v>Neutral atom / Rydberg QC reviews 2025-2026</x:v>
      </x:c>
      <x:c r="F8" s="14" t="str">
        <x:v>Q-075</x:v>
      </x:c>
      <x:c r="G8" s="14" t="n">
        <x:v>3</x:v>
      </x:c>
      <x:c r="H8" s="14" t="n">
        <x:v>0</x:v>
      </x:c>
      <x:c r="I8" s="14" t="n">
        <x:v>0</x:v>
      </x:c>
      <x:c r="J8" s="14" t="n">
        <x:v>0</x:v>
      </x:c>
      <x:c r="K8" s="14" t="n">
        <x:v>0</x:v>
      </x:c>
      <x:c r="L8" s="14" t="n">
        <x:v>0</x:v>
      </x:c>
      <x:c r="M8" s="14" t="n">
        <x:v>0</x:v>
      </x:c>
      <x:c r="N8" s="14" t="n">
        <x:v>0</x:v>
      </x:c>
      <x:c r="O8" s="14" t="str">
        <x:v>review_mining_pending</x:v>
      </x:c>
      <x:c r="P8" s="14" t="str">
        <x:v>Added three review seeds but did not mine their references yet.</x:v>
      </x:c>
      <x:c r="Q8" s="14" t="str">
        <x:v>Process REV-009 first; then REV-010 if application/software ecosystem is in scope.</x:v>
      </x:c>
    </x:row>
    <x:row r="9">
      <x:c r="A9" s="14" t="str">
        <x:v>RUN-REVIEW-v1.9</x:v>
      </x:c>
      <x:c r="B9" s="14" t="str">
        <x:v>2026-06-18</x:v>
      </x:c>
      <x:c r="C9" s="14" t="str">
        <x:v>Review citation mining</x:v>
      </x:c>
      <x:c r="D9" s="14" t="str">
        <x:v>manual first-pass extraction from REV-009 references and review sections</x:v>
      </x:c>
      <x:c r="E9" s="14" t="str">
        <x:v>Saffman 2025 review; state-of-art, connectivity, QEC, syndrome extraction</x:v>
      </x:c>
      <x:c r="F9" s="14" t="str">
        <x:v>REV-009 / Saffman 2025</x:v>
      </x:c>
      <x:c r="G9" s="14" t="n">
        <x:v>20</x:v>
      </x:c>
      <x:c r="H9" s="14" t="n">
        <x:v>20</x:v>
      </x:c>
      <x:c r="I9" s="14" t="n">
        <x:v>0</x:v>
      </x:c>
      <x:c r="J9" s="14" t="n">
        <x:v>2</x:v>
      </x:c>
      <x:c r="K9" s="14" t="n">
        <x:v>0</x:v>
      </x:c>
      <x:c r="L9" s="14" t="n">
        <x:v>12</x:v>
      </x:c>
      <x:c r="M9" s="14" t="n">
        <x:v>2</x:v>
      </x:c>
      <x:c r="N9" s="14" t="n">
        <x:v>0</x:v>
      </x:c>
      <x:c r="O9" s="14" t="str">
        <x:v>not_saturated</x:v>
      </x:c>
      <x:c r="P9" s="14" t="str">
        <x:v>Review mining has begun. Zero new A-core nodes, but many B theory/QEC candidates remain.</x:v>
      </x:c>
      <x:c r="Q9" s="14" t="str">
        <x:v>Clean candidate affiliations and mine forward citations for B candidates.</x:v>
      </x:c>
    </x:row>
    <x:row r="10">
      <x:c r="A10" s="14" t="str">
        <x:v>RUN-v2.0</x:v>
      </x:c>
      <x:c r="B10" s="14" t="str">
        <x:v>review_reference_affiliation_cleanup</x:v>
      </x:c>
      <x:c r="C10" s="14" t="str">
        <x:v>REV-009 Saffman 2025 review references</x:v>
      </x:c>
      <x:c r="D10" s="14" t="n">
        <x:v>12</x:v>
      </x:c>
      <x:c r="E10" s="14" t="n">
        <x:v>5</x:v>
      </x:c>
      <x:c r="F10" s="14" t="n">
        <x:v>0</x:v>
      </x:c>
      <x:c r="G10" s="14" t="n">
        <x:v>4</x:v>
      </x:c>
      <x:c r="H10" s="14" t="n">
        <x:v>3</x:v>
      </x:c>
      <x:c r="I10" s="14" t="n">
        <x:v>1</x:v>
      </x:c>
      <x:c r="J10" s="14" t="n">
        <x:v>0</x:v>
      </x:c>
      <x:c r="K10" s="14" t="n">
        <x:v>0</x:v>
      </x:c>
      <x:c r="L10" s="14" t="n">
        <x:v>5</x:v>
      </x:c>
      <x:c r="M10" s="14" t="str">
        <x:v>arXiv HTML / Nature / PNNL / MPQ / group pages</x:v>
      </x:c>
      <x:c r="N10" s="14" t="str">
        <x:v>Promoted 5 non-duplicate nodes; duplicates merged; R. Lin and Cesa/Sun exact metadata left pending.</x:v>
      </x:c>
      <x:c r="O10" s="14" t="str">
        <x:v>2026-06-18</x:v>
      </x:c>
      <x:c r="P10" s="14" t="str">
        <x:v>/mnt/data/rydberg_tweezer_ecosystem_db_v2_0.xlsx</x:v>
      </x:c>
      <x:c r="Q10" s="14" t="str">
        <x:v>Next: forward-citation pass for promoted nodes and exact metadata cleanup for pending references.</x:v>
      </x:c>
    </x:row>
    <x:row r="11">
      <x:c r="A11" s="14"/>
      <x:c r="B11" s="14"/>
      <x:c r="C11" s="14"/>
      <x:c r="D11" s="14"/>
      <x:c r="E11" s="14"/>
      <x:c r="F11" s="14"/>
      <x:c r="G11" s="14"/>
      <x:c r="H11" s="14"/>
      <x:c r="I11" s="14"/>
      <x:c r="J11" s="14"/>
      <x:c r="K11" s="14"/>
      <x:c r="L11" s="14"/>
      <x:c r="M11" s="14"/>
      <x:c r="N11" s="14"/>
      <x:c r="O11" s="14"/>
      <x:c r="P11" s="14"/>
      <x:c r="Q11" s="14"/>
    </x:row>
    <x:row r="12">
      <x:c r="A12" s="14"/>
      <x:c r="B12" s="14"/>
      <x:c r="C12" s="14"/>
      <x:c r="D12" s="14"/>
      <x:c r="E12" s="14"/>
      <x:c r="F12" s="14"/>
      <x:c r="G12" s="14"/>
      <x:c r="H12" s="14"/>
      <x:c r="I12" s="14"/>
      <x:c r="J12" s="14"/>
      <x:c r="K12" s="14"/>
      <x:c r="L12" s="14"/>
      <x:c r="M12" s="14"/>
      <x:c r="N12" s="14"/>
      <x:c r="O12" s="14"/>
      <x:c r="P12" s="14"/>
      <x:c r="Q12" s="14"/>
    </x:row>
    <x:row r="13">
      <x:c r="A13" s="14"/>
      <x:c r="B13" s="14"/>
      <x:c r="C13" s="14"/>
      <x:c r="D13" s="14"/>
      <x:c r="E13" s="14"/>
      <x:c r="F13" s="14"/>
      <x:c r="G13" s="14"/>
      <x:c r="H13" s="14"/>
      <x:c r="I13" s="14"/>
      <x:c r="J13" s="14"/>
      <x:c r="K13" s="14"/>
      <x:c r="L13" s="14"/>
      <x:c r="M13" s="14"/>
      <x:c r="N13" s="14"/>
      <x:c r="O13" s="14"/>
      <x:c r="P13" s="14"/>
      <x:c r="Q13" s="14"/>
    </x:row>
    <x:row r="14">
      <x:c r="A14" s="14"/>
      <x:c r="B14" s="14"/>
      <x:c r="C14" s="14"/>
      <x:c r="D14" s="14"/>
      <x:c r="E14" s="14"/>
      <x:c r="F14" s="14"/>
      <x:c r="G14" s="14"/>
      <x:c r="H14" s="14"/>
      <x:c r="I14" s="14"/>
      <x:c r="J14" s="14"/>
      <x:c r="K14" s="14"/>
      <x:c r="L14" s="14"/>
      <x:c r="M14" s="14"/>
      <x:c r="N14" s="14"/>
      <x:c r="O14" s="14"/>
      <x:c r="P14" s="14"/>
      <x:c r="Q14" s="14"/>
    </x:row>
    <x:row r="15">
      <x:c r="A15" s="14"/>
      <x:c r="B15" s="14"/>
      <x:c r="C15" s="14"/>
      <x:c r="D15" s="14"/>
      <x:c r="E15" s="14"/>
      <x:c r="F15" s="14"/>
      <x:c r="G15" s="14"/>
      <x:c r="H15" s="14"/>
      <x:c r="I15" s="14"/>
      <x:c r="J15" s="14"/>
      <x:c r="K15" s="14"/>
      <x:c r="L15" s="14"/>
      <x:c r="M15" s="14"/>
      <x:c r="N15" s="14"/>
      <x:c r="O15" s="14"/>
      <x:c r="P15" s="14"/>
      <x:c r="Q15" s="14"/>
    </x:row>
    <x:row r="16">
      <x:c r="A16" s="14"/>
      <x:c r="B16" s="14"/>
      <x:c r="C16" s="14"/>
      <x:c r="D16" s="14"/>
      <x:c r="E16" s="14"/>
      <x:c r="F16" s="14"/>
      <x:c r="G16" s="14"/>
      <x:c r="H16" s="14"/>
      <x:c r="I16" s="14"/>
      <x:c r="J16" s="14"/>
      <x:c r="K16" s="14"/>
      <x:c r="L16" s="14"/>
      <x:c r="M16" s="14"/>
      <x:c r="N16" s="14"/>
      <x:c r="O16" s="14"/>
      <x:c r="P16" s="14"/>
      <x:c r="Q16" s="14"/>
    </x:row>
    <x:row r="17">
      <x:c r="A17" s="14"/>
      <x:c r="B17" s="14"/>
      <x:c r="C17" s="14"/>
      <x:c r="D17" s="14"/>
      <x:c r="E17" s="14"/>
      <x:c r="F17" s="14"/>
      <x:c r="G17" s="14"/>
      <x:c r="H17" s="14"/>
      <x:c r="I17" s="14"/>
      <x:c r="J17" s="14"/>
      <x:c r="K17" s="14"/>
      <x:c r="L17" s="14"/>
      <x:c r="M17" s="14"/>
      <x:c r="N17" s="14"/>
      <x:c r="O17" s="14"/>
      <x:c r="P17" s="14"/>
      <x:c r="Q17" s="14"/>
    </x:row>
    <x:row r="18">
      <x:c r="A18" s="14"/>
      <x:c r="B18" s="14"/>
      <x:c r="C18" s="14"/>
      <x:c r="D18" s="14"/>
      <x:c r="E18" s="14"/>
      <x:c r="F18" s="14"/>
      <x:c r="G18" s="14"/>
      <x:c r="H18" s="14"/>
      <x:c r="I18" s="14"/>
      <x:c r="J18" s="14"/>
      <x:c r="K18" s="14"/>
      <x:c r="L18" s="14"/>
      <x:c r="M18" s="14"/>
      <x:c r="N18" s="14"/>
      <x:c r="O18" s="14"/>
      <x:c r="P18" s="14"/>
      <x:c r="Q18" s="14"/>
    </x:row>
    <x:row r="19">
      <x:c r="A19" s="14"/>
      <x:c r="B19" s="14"/>
      <x:c r="C19" s="14"/>
      <x:c r="D19" s="14"/>
      <x:c r="E19" s="14"/>
      <x:c r="F19" s="14"/>
      <x:c r="G19" s="14"/>
      <x:c r="H19" s="14"/>
      <x:c r="I19" s="14"/>
      <x:c r="J19" s="14"/>
      <x:c r="K19" s="14"/>
      <x:c r="L19" s="14"/>
      <x:c r="M19" s="14"/>
      <x:c r="N19" s="14"/>
      <x:c r="O19" s="14"/>
      <x:c r="P19" s="14"/>
      <x:c r="Q19" s="14"/>
    </x:row>
    <x:row r="20">
      <x:c r="A20" s="14"/>
      <x:c r="B20" s="14"/>
      <x:c r="C20" s="14"/>
      <x:c r="D20" s="14"/>
      <x:c r="E20" s="14"/>
      <x:c r="F20" s="14"/>
      <x:c r="G20" s="14"/>
      <x:c r="H20" s="14"/>
      <x:c r="I20" s="14"/>
      <x:c r="J20" s="14"/>
      <x:c r="K20" s="14"/>
      <x:c r="L20" s="14"/>
      <x:c r="M20" s="14"/>
      <x:c r="N20" s="14"/>
      <x:c r="O20" s="14"/>
      <x:c r="P20" s="14"/>
      <x:c r="Q20" s="14"/>
    </x:row>
    <x:row r="21">
      <x:c r="A21" s="14"/>
      <x:c r="B21" s="14"/>
      <x:c r="C21" s="14"/>
      <x:c r="D21" s="14"/>
      <x:c r="E21" s="14"/>
      <x:c r="F21" s="14"/>
      <x:c r="G21" s="14"/>
      <x:c r="H21" s="14"/>
      <x:c r="I21" s="14"/>
      <x:c r="J21" s="14"/>
      <x:c r="K21" s="14"/>
      <x:c r="L21" s="14"/>
      <x:c r="M21" s="14"/>
      <x:c r="N21" s="14"/>
      <x:c r="O21" s="14"/>
      <x:c r="P21" s="14"/>
      <x:c r="Q21" s="14"/>
    </x:row>
    <x:row r="22">
      <x:c r="A22" s="14"/>
      <x:c r="B22" s="14"/>
      <x:c r="C22" s="14"/>
      <x:c r="D22" s="14"/>
      <x:c r="E22" s="14"/>
      <x:c r="F22" s="14"/>
      <x:c r="G22" s="14"/>
      <x:c r="H22" s="14"/>
      <x:c r="I22" s="14"/>
      <x:c r="J22" s="14"/>
      <x:c r="K22" s="14"/>
      <x:c r="L22" s="14"/>
      <x:c r="M22" s="14"/>
      <x:c r="N22" s="14"/>
      <x:c r="O22" s="14"/>
      <x:c r="P22" s="14"/>
      <x:c r="Q22" s="14"/>
    </x:row>
    <x:row r="23">
      <x:c r="A23" s="14"/>
      <x:c r="B23" s="14"/>
      <x:c r="C23" s="14"/>
      <x:c r="D23" s="14"/>
      <x:c r="E23" s="14"/>
      <x:c r="F23" s="14"/>
      <x:c r="G23" s="14"/>
      <x:c r="H23" s="14"/>
      <x:c r="I23" s="14"/>
      <x:c r="J23" s="14"/>
      <x:c r="K23" s="14"/>
      <x:c r="L23" s="14"/>
      <x:c r="M23" s="14"/>
      <x:c r="N23" s="14"/>
      <x:c r="O23" s="14"/>
      <x:c r="P23" s="14"/>
      <x:c r="Q23" s="14"/>
    </x:row>
    <x:row r="24">
      <x:c r="A24" s="14"/>
      <x:c r="B24" s="14"/>
      <x:c r="C24" s="14"/>
      <x:c r="D24" s="14"/>
      <x:c r="E24" s="14"/>
      <x:c r="F24" s="14"/>
      <x:c r="G24" s="14"/>
      <x:c r="H24" s="14"/>
      <x:c r="I24" s="14"/>
      <x:c r="J24" s="14"/>
      <x:c r="K24" s="14"/>
      <x:c r="L24" s="14"/>
      <x:c r="M24" s="14"/>
      <x:c r="N24" s="14"/>
      <x:c r="O24" s="14"/>
      <x:c r="P24" s="14"/>
      <x:c r="Q24" s="14"/>
    </x:row>
    <x:row r="25">
      <x:c r="A25" s="14"/>
      <x:c r="B25" s="14"/>
      <x:c r="C25" s="14"/>
      <x:c r="D25" s="14"/>
      <x:c r="E25" s="14"/>
      <x:c r="F25" s="14"/>
      <x:c r="G25" s="14"/>
      <x:c r="H25" s="14"/>
      <x:c r="I25" s="14"/>
      <x:c r="J25" s="14"/>
      <x:c r="K25" s="14"/>
      <x:c r="L25" s="14"/>
      <x:c r="M25" s="14"/>
      <x:c r="N25" s="14"/>
      <x:c r="O25" s="14"/>
      <x:c r="P25" s="14"/>
      <x:c r="Q25" s="14"/>
    </x:row>
    <x:row r="26">
      <x:c r="A26" s="14"/>
      <x:c r="B26" s="14"/>
      <x:c r="C26" s="14"/>
      <x:c r="D26" s="14"/>
      <x:c r="E26" s="14"/>
      <x:c r="F26" s="14"/>
      <x:c r="G26" s="14"/>
      <x:c r="H26" s="14"/>
      <x:c r="I26" s="14"/>
      <x:c r="J26" s="14"/>
      <x:c r="K26" s="14"/>
      <x:c r="L26" s="14"/>
      <x:c r="M26" s="14"/>
      <x:c r="N26" s="14"/>
      <x:c r="O26" s="14"/>
      <x:c r="P26" s="14"/>
      <x:c r="Q26" s="14"/>
    </x:row>
    <x:row r="27">
      <x:c r="A27" s="14"/>
      <x:c r="B27" s="14"/>
      <x:c r="C27" s="14"/>
      <x:c r="D27" s="14"/>
      <x:c r="E27" s="14"/>
      <x:c r="F27" s="14"/>
      <x:c r="G27" s="14"/>
      <x:c r="H27" s="14"/>
      <x:c r="I27" s="14"/>
      <x:c r="J27" s="14"/>
      <x:c r="K27" s="14"/>
      <x:c r="L27" s="14"/>
      <x:c r="M27" s="14"/>
      <x:c r="N27" s="14"/>
      <x:c r="O27" s="14"/>
      <x:c r="P27" s="14"/>
      <x:c r="Q27" s="14"/>
    </x:row>
    <x:row r="28">
      <x:c r="A28" s="14"/>
      <x:c r="B28" s="14"/>
      <x:c r="C28" s="14"/>
      <x:c r="D28" s="14"/>
      <x:c r="E28" s="14"/>
      <x:c r="F28" s="14"/>
      <x:c r="G28" s="14"/>
      <x:c r="H28" s="14"/>
      <x:c r="I28" s="14"/>
      <x:c r="J28" s="14"/>
      <x:c r="K28" s="14"/>
      <x:c r="L28" s="14"/>
      <x:c r="M28" s="14"/>
      <x:c r="N28" s="14"/>
      <x:c r="O28" s="14"/>
      <x:c r="P28" s="14"/>
      <x:c r="Q28" s="14"/>
    </x:row>
    <x:row r="29">
      <x:c r="A29" s="14"/>
      <x:c r="B29" s="14"/>
      <x:c r="C29" s="14"/>
      <x:c r="D29" s="14"/>
      <x:c r="E29" s="14"/>
      <x:c r="F29" s="14"/>
      <x:c r="G29" s="14"/>
      <x:c r="H29" s="14"/>
      <x:c r="I29" s="14"/>
      <x:c r="J29" s="14"/>
      <x:c r="K29" s="14"/>
      <x:c r="L29" s="14"/>
      <x:c r="M29" s="14"/>
      <x:c r="N29" s="14"/>
      <x:c r="O29" s="14"/>
      <x:c r="P29" s="14"/>
      <x:c r="Q29" s="14"/>
    </x:row>
    <x:row r="30">
      <x:c r="A30" s="14"/>
      <x:c r="B30" s="14"/>
      <x:c r="C30" s="14"/>
      <x:c r="D30" s="14"/>
      <x:c r="E30" s="14"/>
      <x:c r="F30" s="14"/>
      <x:c r="G30" s="14"/>
      <x:c r="H30" s="14"/>
      <x:c r="I30" s="14"/>
      <x:c r="J30" s="14"/>
      <x:c r="K30" s="14"/>
      <x:c r="L30" s="14"/>
      <x:c r="M30" s="14"/>
      <x:c r="N30" s="14"/>
      <x:c r="O30" s="14"/>
      <x:c r="P30" s="14"/>
      <x:c r="Q30" s="14"/>
    </x:row>
    <x:row r="31">
      <x:c r="A31" s="14"/>
      <x:c r="B31" s="14"/>
      <x:c r="C31" s="14"/>
      <x:c r="D31" s="14"/>
      <x:c r="E31" s="14"/>
      <x:c r="F31" s="14"/>
      <x:c r="G31" s="14"/>
      <x:c r="H31" s="14"/>
      <x:c r="I31" s="14"/>
      <x:c r="J31" s="14"/>
      <x:c r="K31" s="14"/>
      <x:c r="L31" s="14"/>
      <x:c r="M31" s="14"/>
      <x:c r="N31" s="14"/>
      <x:c r="O31" s="14"/>
      <x:c r="P31" s="14"/>
      <x:c r="Q31" s="14"/>
    </x:row>
    <x:row r="32">
      <x:c r="A32" s="14"/>
      <x:c r="B32" s="14"/>
      <x:c r="C32" s="14"/>
      <x:c r="D32" s="14"/>
      <x:c r="E32" s="14"/>
      <x:c r="F32" s="14"/>
      <x:c r="G32" s="14"/>
      <x:c r="H32" s="14"/>
      <x:c r="I32" s="14"/>
      <x:c r="J32" s="14"/>
      <x:c r="K32" s="14"/>
      <x:c r="L32" s="14"/>
      <x:c r="M32" s="14"/>
      <x:c r="N32" s="14"/>
      <x:c r="O32" s="14"/>
      <x:c r="P32" s="14"/>
      <x:c r="Q32" s="14"/>
    </x:row>
    <x:row r="33">
      <x:c r="A33" s="14"/>
      <x:c r="B33" s="14"/>
      <x:c r="C33" s="14"/>
      <x:c r="D33" s="14"/>
      <x:c r="E33" s="14"/>
      <x:c r="F33" s="14"/>
      <x:c r="G33" s="14"/>
      <x:c r="H33" s="14"/>
      <x:c r="I33" s="14"/>
      <x:c r="J33" s="14"/>
      <x:c r="K33" s="14"/>
      <x:c r="L33" s="14"/>
      <x:c r="M33" s="14"/>
      <x:c r="N33" s="14"/>
      <x:c r="O33" s="14"/>
      <x:c r="P33" s="14"/>
      <x:c r="Q33" s="14"/>
    </x:row>
    <x:row r="34">
      <x:c r="A34" s="14"/>
      <x:c r="B34" s="14"/>
      <x:c r="C34" s="14"/>
      <x:c r="D34" s="14"/>
      <x:c r="E34" s="14"/>
      <x:c r="F34" s="14"/>
      <x:c r="G34" s="14"/>
      <x:c r="H34" s="14"/>
      <x:c r="I34" s="14"/>
      <x:c r="J34" s="14"/>
      <x:c r="K34" s="14"/>
      <x:c r="L34" s="14"/>
      <x:c r="M34" s="14"/>
      <x:c r="N34" s="14"/>
      <x:c r="O34" s="14"/>
      <x:c r="P34" s="14"/>
      <x:c r="Q34" s="14"/>
    </x:row>
    <x:row r="35">
      <x:c r="A35" s="14"/>
      <x:c r="B35" s="14"/>
      <x:c r="C35" s="14"/>
      <x:c r="D35" s="14"/>
      <x:c r="E35" s="14"/>
      <x:c r="F35" s="14"/>
      <x:c r="G35" s="14"/>
      <x:c r="H35" s="14"/>
      <x:c r="I35" s="14"/>
      <x:c r="J35" s="14"/>
      <x:c r="K35" s="14"/>
      <x:c r="L35" s="14"/>
      <x:c r="M35" s="14"/>
      <x:c r="N35" s="14"/>
      <x:c r="O35" s="14"/>
      <x:c r="P35" s="14"/>
      <x:c r="Q35" s="14"/>
    </x:row>
    <x:row r="36">
      <x:c r="A36" s="14"/>
      <x:c r="B36" s="14"/>
      <x:c r="C36" s="14"/>
      <x:c r="D36" s="14"/>
      <x:c r="E36" s="14"/>
      <x:c r="F36" s="14"/>
      <x:c r="G36" s="14"/>
      <x:c r="H36" s="14"/>
      <x:c r="I36" s="14"/>
      <x:c r="J36" s="14"/>
      <x:c r="K36" s="14"/>
      <x:c r="L36" s="14"/>
      <x:c r="M36" s="14"/>
      <x:c r="N36" s="14"/>
      <x:c r="O36" s="14"/>
      <x:c r="P36" s="14"/>
      <x:c r="Q36" s="14"/>
    </x:row>
    <x:row r="37">
      <x:c r="A37" s="14"/>
      <x:c r="B37" s="14"/>
      <x:c r="C37" s="14"/>
      <x:c r="D37" s="14"/>
      <x:c r="E37" s="14"/>
      <x:c r="F37" s="14"/>
      <x:c r="G37" s="14"/>
      <x:c r="H37" s="14"/>
      <x:c r="I37" s="14"/>
      <x:c r="J37" s="14"/>
      <x:c r="K37" s="14"/>
      <x:c r="L37" s="14"/>
      <x:c r="M37" s="14"/>
      <x:c r="N37" s="14"/>
      <x:c r="O37" s="14"/>
      <x:c r="P37" s="14"/>
      <x:c r="Q37" s="14"/>
    </x:row>
    <x:row r="38">
      <x:c r="A38" s="14"/>
      <x:c r="B38" s="14"/>
      <x:c r="C38" s="14"/>
      <x:c r="D38" s="14"/>
      <x:c r="E38" s="14"/>
      <x:c r="F38" s="14"/>
      <x:c r="G38" s="14"/>
      <x:c r="H38" s="14"/>
      <x:c r="I38" s="14"/>
      <x:c r="J38" s="14"/>
      <x:c r="K38" s="14"/>
      <x:c r="L38" s="14"/>
      <x:c r="M38" s="14"/>
      <x:c r="N38" s="14"/>
      <x:c r="O38" s="14"/>
      <x:c r="P38" s="14"/>
      <x:c r="Q38" s="14"/>
    </x:row>
    <x:row r="39">
      <x:c r="A39" s="14"/>
      <x:c r="B39" s="14"/>
      <x:c r="C39" s="14"/>
      <x:c r="D39" s="14"/>
      <x:c r="E39" s="14"/>
      <x:c r="F39" s="14"/>
      <x:c r="G39" s="14"/>
      <x:c r="H39" s="14"/>
      <x:c r="I39" s="14"/>
      <x:c r="J39" s="14"/>
      <x:c r="K39" s="14"/>
      <x:c r="L39" s="14"/>
      <x:c r="M39" s="14"/>
      <x:c r="N39" s="14"/>
      <x:c r="O39" s="14"/>
      <x:c r="P39" s="14"/>
      <x:c r="Q39" s="14"/>
    </x:row>
    <x:row r="40">
      <x:c r="A40" s="14"/>
      <x:c r="B40" s="14"/>
      <x:c r="C40" s="14"/>
      <x:c r="D40" s="14"/>
      <x:c r="E40" s="14"/>
      <x:c r="F40" s="14"/>
      <x:c r="G40" s="14"/>
      <x:c r="H40" s="14"/>
      <x:c r="I40" s="14"/>
      <x:c r="J40" s="14"/>
      <x:c r="K40" s="14"/>
      <x:c r="L40" s="14"/>
      <x:c r="M40" s="14"/>
      <x:c r="N40" s="14"/>
      <x:c r="O40" s="14"/>
      <x:c r="P40" s="14"/>
      <x:c r="Q40" s="14"/>
    </x:row>
    <x:row r="41">
      <x:c r="A41" s="14"/>
      <x:c r="B41" s="14"/>
      <x:c r="C41" s="14"/>
      <x:c r="D41" s="14"/>
      <x:c r="E41" s="14"/>
      <x:c r="F41" s="14"/>
      <x:c r="G41" s="14"/>
      <x:c r="H41" s="14"/>
      <x:c r="I41" s="14"/>
      <x:c r="J41" s="14"/>
      <x:c r="K41" s="14"/>
      <x:c r="L41" s="14"/>
      <x:c r="M41" s="14"/>
      <x:c r="N41" s="14"/>
      <x:c r="O41" s="14"/>
      <x:c r="P41" s="14"/>
      <x:c r="Q41" s="14"/>
    </x:row>
    <x:row r="42">
      <x:c r="A42" s="14"/>
      <x:c r="B42" s="14"/>
      <x:c r="C42" s="14"/>
      <x:c r="D42" s="14"/>
      <x:c r="E42" s="14"/>
      <x:c r="F42" s="14"/>
      <x:c r="G42" s="14"/>
      <x:c r="H42" s="14"/>
      <x:c r="I42" s="14"/>
      <x:c r="J42" s="14"/>
      <x:c r="K42" s="14"/>
      <x:c r="L42" s="14"/>
      <x:c r="M42" s="14"/>
      <x:c r="N42" s="14"/>
      <x:c r="O42" s="14"/>
      <x:c r="P42" s="14"/>
      <x:c r="Q42" s="14"/>
    </x:row>
    <x:row r="43">
      <x:c r="A43" s="14"/>
      <x:c r="B43" s="14"/>
      <x:c r="C43" s="14"/>
      <x:c r="D43" s="14"/>
      <x:c r="E43" s="14"/>
      <x:c r="F43" s="14"/>
      <x:c r="G43" s="14"/>
      <x:c r="H43" s="14"/>
      <x:c r="I43" s="14"/>
      <x:c r="J43" s="14"/>
      <x:c r="K43" s="14"/>
      <x:c r="L43" s="14"/>
      <x:c r="M43" s="14"/>
      <x:c r="N43" s="14"/>
      <x:c r="O43" s="14"/>
      <x:c r="P43" s="14"/>
      <x:c r="Q43" s="14"/>
    </x:row>
    <x:row r="44">
      <x:c r="A44" s="14"/>
      <x:c r="B44" s="14"/>
      <x:c r="C44" s="14"/>
      <x:c r="D44" s="14"/>
      <x:c r="E44" s="14"/>
      <x:c r="F44" s="14"/>
      <x:c r="G44" s="14"/>
      <x:c r="H44" s="14"/>
      <x:c r="I44" s="14"/>
      <x:c r="J44" s="14"/>
      <x:c r="K44" s="14"/>
      <x:c r="L44" s="14"/>
      <x:c r="M44" s="14"/>
      <x:c r="N44" s="14"/>
      <x:c r="O44" s="14"/>
      <x:c r="P44" s="14"/>
      <x:c r="Q44" s="14"/>
    </x:row>
    <x:row r="45">
      <x:c r="A45" s="14"/>
      <x:c r="B45" s="14"/>
      <x:c r="C45" s="14"/>
      <x:c r="D45" s="14"/>
      <x:c r="E45" s="14"/>
      <x:c r="F45" s="14"/>
      <x:c r="G45" s="14"/>
      <x:c r="H45" s="14"/>
      <x:c r="I45" s="14"/>
      <x:c r="J45" s="14"/>
      <x:c r="K45" s="14"/>
      <x:c r="L45" s="14"/>
      <x:c r="M45" s="14"/>
      <x:c r="N45" s="14"/>
      <x:c r="O45" s="14"/>
      <x:c r="P45" s="14"/>
      <x:c r="Q45" s="14"/>
    </x:row>
    <x:row r="46">
      <x:c r="A46" s="14"/>
      <x:c r="B46" s="14"/>
      <x:c r="C46" s="14"/>
      <x:c r="D46" s="14"/>
      <x:c r="E46" s="14"/>
      <x:c r="F46" s="14"/>
      <x:c r="G46" s="14"/>
      <x:c r="H46" s="14"/>
      <x:c r="I46" s="14"/>
      <x:c r="J46" s="14"/>
      <x:c r="K46" s="14"/>
      <x:c r="L46" s="14"/>
      <x:c r="M46" s="14"/>
      <x:c r="N46" s="14"/>
      <x:c r="O46" s="14"/>
      <x:c r="P46" s="14"/>
      <x:c r="Q46" s="14"/>
    </x:row>
    <x:row r="47">
      <x:c r="A47" s="14"/>
      <x:c r="B47" s="14"/>
      <x:c r="C47" s="14"/>
      <x:c r="D47" s="14"/>
      <x:c r="E47" s="14"/>
      <x:c r="F47" s="14"/>
      <x:c r="G47" s="14"/>
      <x:c r="H47" s="14"/>
      <x:c r="I47" s="14"/>
      <x:c r="J47" s="14"/>
      <x:c r="K47" s="14"/>
      <x:c r="L47" s="14"/>
      <x:c r="M47" s="14"/>
      <x:c r="N47" s="14"/>
      <x:c r="O47" s="14"/>
      <x:c r="P47" s="14"/>
      <x:c r="Q47" s="14"/>
    </x:row>
    <x:row r="48">
      <x:c r="A48" s="14"/>
      <x:c r="B48" s="14"/>
      <x:c r="C48" s="14"/>
      <x:c r="D48" s="14"/>
      <x:c r="E48" s="14"/>
      <x:c r="F48" s="14"/>
      <x:c r="G48" s="14"/>
      <x:c r="H48" s="14"/>
      <x:c r="I48" s="14"/>
      <x:c r="J48" s="14"/>
      <x:c r="K48" s="14"/>
      <x:c r="L48" s="14"/>
      <x:c r="M48" s="14"/>
      <x:c r="N48" s="14"/>
      <x:c r="O48" s="14"/>
      <x:c r="P48" s="14"/>
      <x:c r="Q48" s="14"/>
    </x:row>
    <x:row r="49">
      <x:c r="A49" s="14"/>
      <x:c r="B49" s="14"/>
      <x:c r="C49" s="14"/>
      <x:c r="D49" s="14"/>
      <x:c r="E49" s="14"/>
      <x:c r="F49" s="14"/>
      <x:c r="G49" s="14"/>
      <x:c r="H49" s="14"/>
      <x:c r="I49" s="14"/>
      <x:c r="J49" s="14"/>
      <x:c r="K49" s="14"/>
      <x:c r="L49" s="14"/>
      <x:c r="M49" s="14"/>
      <x:c r="N49" s="14"/>
      <x:c r="O49" s="14"/>
      <x:c r="P49" s="14"/>
      <x:c r="Q49" s="14"/>
    </x:row>
    <x:row r="50">
      <x:c r="A50" s="14"/>
      <x:c r="B50" s="14"/>
      <x:c r="C50" s="14"/>
      <x:c r="D50" s="14"/>
      <x:c r="E50" s="14"/>
      <x:c r="F50" s="14"/>
      <x:c r="G50" s="14"/>
      <x:c r="H50" s="14"/>
      <x:c r="I50" s="14"/>
      <x:c r="J50" s="14"/>
      <x:c r="K50" s="14"/>
      <x:c r="L50" s="14"/>
      <x:c r="M50" s="14"/>
      <x:c r="N50" s="14"/>
      <x:c r="O50" s="14"/>
      <x:c r="P50" s="14"/>
      <x:c r="Q50" s="14"/>
    </x:row>
    <x:row r="51">
      <x:c r="A51" s="14"/>
      <x:c r="B51" s="14"/>
      <x:c r="C51" s="14"/>
      <x:c r="D51" s="14"/>
      <x:c r="E51" s="14"/>
      <x:c r="F51" s="14"/>
      <x:c r="G51" s="14"/>
      <x:c r="H51" s="14"/>
      <x:c r="I51" s="14"/>
      <x:c r="J51" s="14"/>
      <x:c r="K51" s="14"/>
      <x:c r="L51" s="14"/>
      <x:c r="M51" s="14"/>
      <x:c r="N51" s="14"/>
      <x:c r="O51" s="14"/>
      <x:c r="P51" s="14"/>
      <x:c r="Q51" s="14"/>
    </x:row>
    <x:row r="52">
      <x:c r="A52" s="14"/>
      <x:c r="B52" s="14"/>
      <x:c r="C52" s="14"/>
      <x:c r="D52" s="14"/>
      <x:c r="E52" s="14"/>
      <x:c r="F52" s="14"/>
      <x:c r="G52" s="14"/>
      <x:c r="H52" s="14"/>
      <x:c r="I52" s="14"/>
      <x:c r="J52" s="14"/>
      <x:c r="K52" s="14"/>
      <x:c r="L52" s="14"/>
      <x:c r="M52" s="14"/>
      <x:c r="N52" s="14"/>
      <x:c r="O52" s="14"/>
      <x:c r="P52" s="14"/>
      <x:c r="Q52" s="14"/>
    </x:row>
    <x:row r="53">
      <x:c r="A53" s="14"/>
      <x:c r="B53" s="14"/>
      <x:c r="C53" s="14"/>
      <x:c r="D53" s="14"/>
      <x:c r="E53" s="14"/>
      <x:c r="F53" s="14"/>
      <x:c r="G53" s="14"/>
      <x:c r="H53" s="14"/>
      <x:c r="I53" s="14"/>
      <x:c r="J53" s="14"/>
      <x:c r="K53" s="14"/>
      <x:c r="L53" s="14"/>
      <x:c r="M53" s="14"/>
      <x:c r="N53" s="14"/>
      <x:c r="O53" s="14"/>
      <x:c r="P53" s="14"/>
      <x:c r="Q53" s="14"/>
    </x:row>
    <x:row r="54">
      <x:c r="A54" s="14"/>
      <x:c r="B54" s="14"/>
      <x:c r="C54" s="14"/>
      <x:c r="D54" s="14"/>
      <x:c r="E54" s="14"/>
      <x:c r="F54" s="14"/>
      <x:c r="G54" s="14"/>
      <x:c r="H54" s="14"/>
      <x:c r="I54" s="14"/>
      <x:c r="J54" s="14"/>
      <x:c r="K54" s="14"/>
      <x:c r="L54" s="14"/>
      <x:c r="M54" s="14"/>
      <x:c r="N54" s="14"/>
      <x:c r="O54" s="14"/>
      <x:c r="P54" s="14"/>
      <x:c r="Q54" s="14"/>
    </x:row>
    <x:row r="55">
      <x:c r="A55" s="14"/>
      <x:c r="B55" s="14"/>
      <x:c r="C55" s="14"/>
      <x:c r="D55" s="14"/>
      <x:c r="E55" s="14"/>
      <x:c r="F55" s="14"/>
      <x:c r="G55" s="14"/>
      <x:c r="H55" s="14"/>
      <x:c r="I55" s="14"/>
      <x:c r="J55" s="14"/>
      <x:c r="K55" s="14"/>
      <x:c r="L55" s="14"/>
      <x:c r="M55" s="14"/>
      <x:c r="N55" s="14"/>
      <x:c r="O55" s="14"/>
      <x:c r="P55" s="14"/>
      <x:c r="Q55" s="14"/>
    </x:row>
    <x:row r="56">
      <x:c r="A56" s="14"/>
      <x:c r="B56" s="14"/>
      <x:c r="C56" s="14"/>
      <x:c r="D56" s="14"/>
      <x:c r="E56" s="14"/>
      <x:c r="F56" s="14"/>
      <x:c r="G56" s="14"/>
      <x:c r="H56" s="14"/>
      <x:c r="I56" s="14"/>
      <x:c r="J56" s="14"/>
      <x:c r="K56" s="14"/>
      <x:c r="L56" s="14"/>
      <x:c r="M56" s="14"/>
      <x:c r="N56" s="14"/>
      <x:c r="O56" s="14"/>
      <x:c r="P56" s="14"/>
      <x:c r="Q56" s="14"/>
    </x:row>
    <x:row r="57">
      <x:c r="A57" s="14"/>
      <x:c r="B57" s="14"/>
      <x:c r="C57" s="14"/>
      <x:c r="D57" s="14"/>
      <x:c r="E57" s="14"/>
      <x:c r="F57" s="14"/>
      <x:c r="G57" s="14"/>
      <x:c r="H57" s="14"/>
      <x:c r="I57" s="14"/>
      <x:c r="J57" s="14"/>
      <x:c r="K57" s="14"/>
      <x:c r="L57" s="14"/>
      <x:c r="M57" s="14"/>
      <x:c r="N57" s="14"/>
      <x:c r="O57" s="14"/>
      <x:c r="P57" s="14"/>
      <x:c r="Q57" s="14"/>
    </x:row>
    <x:row r="58">
      <x:c r="A58" s="14"/>
      <x:c r="B58" s="14"/>
      <x:c r="C58" s="14"/>
      <x:c r="D58" s="14"/>
      <x:c r="E58" s="14"/>
      <x:c r="F58" s="14"/>
      <x:c r="G58" s="14"/>
      <x:c r="H58" s="14"/>
      <x:c r="I58" s="14"/>
      <x:c r="J58" s="14"/>
      <x:c r="K58" s="14"/>
      <x:c r="L58" s="14"/>
      <x:c r="M58" s="14"/>
      <x:c r="N58" s="14"/>
      <x:c r="O58" s="14"/>
      <x:c r="P58" s="14"/>
      <x:c r="Q58" s="14"/>
    </x:row>
    <x:row r="59">
      <x:c r="A59" s="14"/>
      <x:c r="B59" s="14"/>
      <x:c r="C59" s="14"/>
      <x:c r="D59" s="14"/>
      <x:c r="E59" s="14"/>
      <x:c r="F59" s="14"/>
      <x:c r="G59" s="14"/>
      <x:c r="H59" s="14"/>
      <x:c r="I59" s="14"/>
      <x:c r="J59" s="14"/>
      <x:c r="K59" s="14"/>
      <x:c r="L59" s="14"/>
      <x:c r="M59" s="14"/>
      <x:c r="N59" s="14"/>
      <x:c r="O59" s="14"/>
      <x:c r="P59" s="14"/>
      <x:c r="Q59" s="14"/>
    </x:row>
    <x:row r="60">
      <x:c r="A60" s="14"/>
      <x:c r="B60" s="14"/>
      <x:c r="C60" s="14"/>
      <x:c r="D60" s="14"/>
      <x:c r="E60" s="14"/>
      <x:c r="F60" s="14"/>
      <x:c r="G60" s="14"/>
      <x:c r="H60" s="14"/>
      <x:c r="I60" s="14"/>
      <x:c r="J60" s="14"/>
      <x:c r="K60" s="14"/>
      <x:c r="L60" s="14"/>
      <x:c r="M60" s="14"/>
      <x:c r="N60" s="14"/>
      <x:c r="O60" s="14"/>
      <x:c r="P60" s="14"/>
      <x:c r="Q60" s="14"/>
    </x:row>
    <x:row r="61">
      <x:c r="A61" s="14"/>
      <x:c r="B61" s="14"/>
      <x:c r="C61" s="14"/>
      <x:c r="D61" s="14"/>
      <x:c r="E61" s="14"/>
      <x:c r="F61" s="14"/>
      <x:c r="G61" s="14"/>
      <x:c r="H61" s="14"/>
      <x:c r="I61" s="14"/>
      <x:c r="J61" s="14"/>
      <x:c r="K61" s="14"/>
      <x:c r="L61" s="14"/>
      <x:c r="M61" s="14"/>
      <x:c r="N61" s="14"/>
      <x:c r="O61" s="14"/>
      <x:c r="P61" s="14"/>
      <x:c r="Q61" s="14"/>
    </x:row>
    <x:row r="62">
      <x:c r="A62" s="14"/>
      <x:c r="B62" s="14"/>
      <x:c r="C62" s="14"/>
      <x:c r="D62" s="14"/>
      <x:c r="E62" s="14"/>
      <x:c r="F62" s="14"/>
      <x:c r="G62" s="14"/>
      <x:c r="H62" s="14"/>
      <x:c r="I62" s="14"/>
      <x:c r="J62" s="14"/>
      <x:c r="K62" s="14"/>
      <x:c r="L62" s="14"/>
      <x:c r="M62" s="14"/>
      <x:c r="N62" s="14"/>
      <x:c r="O62" s="14"/>
      <x:c r="P62" s="14"/>
      <x:c r="Q62" s="14"/>
    </x:row>
    <x:row r="63">
      <x:c r="A63" s="14"/>
      <x:c r="B63" s="14"/>
      <x:c r="C63" s="14"/>
      <x:c r="D63" s="14"/>
      <x:c r="E63" s="14"/>
      <x:c r="F63" s="14"/>
      <x:c r="G63" s="14"/>
      <x:c r="H63" s="14"/>
      <x:c r="I63" s="14"/>
      <x:c r="J63" s="14"/>
      <x:c r="K63" s="14"/>
      <x:c r="L63" s="14"/>
      <x:c r="M63" s="14"/>
      <x:c r="N63" s="14"/>
      <x:c r="O63" s="14"/>
      <x:c r="P63" s="14"/>
      <x:c r="Q63" s="14"/>
    </x:row>
    <x:row r="64">
      <x:c r="A64" s="14"/>
      <x:c r="B64" s="14"/>
      <x:c r="C64" s="14"/>
      <x:c r="D64" s="14"/>
      <x:c r="E64" s="14"/>
      <x:c r="F64" s="14"/>
      <x:c r="G64" s="14"/>
      <x:c r="H64" s="14"/>
      <x:c r="I64" s="14"/>
      <x:c r="J64" s="14"/>
      <x:c r="K64" s="14"/>
      <x:c r="L64" s="14"/>
      <x:c r="M64" s="14"/>
      <x:c r="N64" s="14"/>
      <x:c r="O64" s="14"/>
      <x:c r="P64" s="14"/>
      <x:c r="Q64" s="14"/>
    </x:row>
    <x:row r="65">
      <x:c r="A65" s="14"/>
      <x:c r="B65" s="14"/>
      <x:c r="C65" s="14"/>
      <x:c r="D65" s="14"/>
      <x:c r="E65" s="14"/>
      <x:c r="F65" s="14"/>
      <x:c r="G65" s="14"/>
      <x:c r="H65" s="14"/>
      <x:c r="I65" s="14"/>
      <x:c r="J65" s="14"/>
      <x:c r="K65" s="14"/>
      <x:c r="L65" s="14"/>
      <x:c r="M65" s="14"/>
      <x:c r="N65" s="14"/>
      <x:c r="O65" s="14"/>
      <x:c r="P65" s="14"/>
      <x:c r="Q65" s="14"/>
    </x:row>
    <x:row r="66">
      <x:c r="A66" s="14"/>
      <x:c r="B66" s="14"/>
      <x:c r="C66" s="14"/>
      <x:c r="D66" s="14"/>
      <x:c r="E66" s="14"/>
      <x:c r="F66" s="14"/>
      <x:c r="G66" s="14"/>
      <x:c r="H66" s="14"/>
      <x:c r="I66" s="14"/>
      <x:c r="J66" s="14"/>
      <x:c r="K66" s="14"/>
      <x:c r="L66" s="14"/>
      <x:c r="M66" s="14"/>
      <x:c r="N66" s="14"/>
      <x:c r="O66" s="14"/>
      <x:c r="P66" s="14"/>
      <x:c r="Q66" s="14"/>
    </x:row>
    <x:row r="67">
      <x:c r="A67" s="14"/>
      <x:c r="B67" s="14"/>
      <x:c r="C67" s="14"/>
      <x:c r="D67" s="14"/>
      <x:c r="E67" s="14"/>
      <x:c r="F67" s="14"/>
      <x:c r="G67" s="14"/>
      <x:c r="H67" s="14"/>
      <x:c r="I67" s="14"/>
      <x:c r="J67" s="14"/>
      <x:c r="K67" s="14"/>
      <x:c r="L67" s="14"/>
      <x:c r="M67" s="14"/>
      <x:c r="N67" s="14"/>
      <x:c r="O67" s="14"/>
      <x:c r="P67" s="14"/>
      <x:c r="Q67" s="14"/>
    </x:row>
    <x:row r="68">
      <x:c r="A68" s="14"/>
      <x:c r="B68" s="14"/>
      <x:c r="C68" s="14"/>
      <x:c r="D68" s="14"/>
      <x:c r="E68" s="14"/>
      <x:c r="F68" s="14"/>
      <x:c r="G68" s="14"/>
      <x:c r="H68" s="14"/>
      <x:c r="I68" s="14"/>
      <x:c r="J68" s="14"/>
      <x:c r="K68" s="14"/>
      <x:c r="L68" s="14"/>
      <x:c r="M68" s="14"/>
      <x:c r="N68" s="14"/>
      <x:c r="O68" s="14"/>
      <x:c r="P68" s="14"/>
      <x:c r="Q68" s="14"/>
    </x:row>
    <x:row r="69">
      <x:c r="A69" s="14"/>
      <x:c r="B69" s="14"/>
      <x:c r="C69" s="14"/>
      <x:c r="D69" s="14"/>
      <x:c r="E69" s="14"/>
      <x:c r="F69" s="14"/>
      <x:c r="G69" s="14"/>
      <x:c r="H69" s="14"/>
      <x:c r="I69" s="14"/>
      <x:c r="J69" s="14"/>
      <x:c r="K69" s="14"/>
      <x:c r="L69" s="14"/>
      <x:c r="M69" s="14"/>
      <x:c r="N69" s="14"/>
      <x:c r="O69" s="14"/>
      <x:c r="P69" s="14"/>
      <x:c r="Q69" s="14"/>
    </x:row>
    <x:row r="70">
      <x:c r="A70" s="14"/>
      <x:c r="B70" s="14"/>
      <x:c r="C70" s="14"/>
      <x:c r="D70" s="14"/>
      <x:c r="E70" s="14"/>
      <x:c r="F70" s="14"/>
      <x:c r="G70" s="14"/>
      <x:c r="H70" s="14"/>
      <x:c r="I70" s="14"/>
      <x:c r="J70" s="14"/>
      <x:c r="K70" s="14"/>
      <x:c r="L70" s="14"/>
      <x:c r="M70" s="14"/>
      <x:c r="N70" s="14"/>
      <x:c r="O70" s="14"/>
      <x:c r="P70" s="14"/>
      <x:c r="Q70" s="14"/>
    </x:row>
    <x:row r="71">
      <x:c r="A71" s="14"/>
      <x:c r="B71" s="14"/>
      <x:c r="C71" s="14"/>
      <x:c r="D71" s="14"/>
      <x:c r="E71" s="14"/>
      <x:c r="F71" s="14"/>
      <x:c r="G71" s="14"/>
      <x:c r="H71" s="14"/>
      <x:c r="I71" s="14"/>
      <x:c r="J71" s="14"/>
      <x:c r="K71" s="14"/>
      <x:c r="L71" s="14"/>
      <x:c r="M71" s="14"/>
      <x:c r="N71" s="14"/>
      <x:c r="O71" s="14"/>
      <x:c r="P71" s="14"/>
      <x:c r="Q71" s="14"/>
    </x:row>
    <x:row r="72">
      <x:c r="A72" s="14"/>
      <x:c r="B72" s="14"/>
      <x:c r="C72" s="14"/>
      <x:c r="D72" s="14"/>
      <x:c r="E72" s="14"/>
      <x:c r="F72" s="14"/>
      <x:c r="G72" s="14"/>
      <x:c r="H72" s="14"/>
      <x:c r="I72" s="14"/>
      <x:c r="J72" s="14"/>
      <x:c r="K72" s="14"/>
      <x:c r="L72" s="14"/>
      <x:c r="M72" s="14"/>
      <x:c r="N72" s="14"/>
      <x:c r="O72" s="14"/>
      <x:c r="P72" s="14"/>
      <x:c r="Q72" s="14"/>
    </x:row>
    <x:row r="73">
      <x:c r="A73" s="14"/>
      <x:c r="B73" s="14"/>
      <x:c r="C73" s="14"/>
      <x:c r="D73" s="14"/>
      <x:c r="E73" s="14"/>
      <x:c r="F73" s="14"/>
      <x:c r="G73" s="14"/>
      <x:c r="H73" s="14"/>
      <x:c r="I73" s="14"/>
      <x:c r="J73" s="14"/>
      <x:c r="K73" s="14"/>
      <x:c r="L73" s="14"/>
      <x:c r="M73" s="14"/>
      <x:c r="N73" s="14"/>
      <x:c r="O73" s="14"/>
      <x:c r="P73" s="14"/>
      <x:c r="Q73" s="14"/>
    </x:row>
    <x:row r="74">
      <x:c r="A74" s="14"/>
      <x:c r="B74" s="14"/>
      <x:c r="C74" s="14"/>
      <x:c r="D74" s="14"/>
      <x:c r="E74" s="14"/>
      <x:c r="F74" s="14"/>
      <x:c r="G74" s="14"/>
      <x:c r="H74" s="14"/>
      <x:c r="I74" s="14"/>
      <x:c r="J74" s="14"/>
      <x:c r="K74" s="14"/>
      <x:c r="L74" s="14"/>
      <x:c r="M74" s="14"/>
      <x:c r="N74" s="14"/>
      <x:c r="O74" s="14"/>
      <x:c r="P74" s="14"/>
      <x:c r="Q74" s="14"/>
    </x:row>
    <x:row r="75">
      <x:c r="A75" s="14"/>
      <x:c r="B75" s="14"/>
      <x:c r="C75" s="14"/>
      <x:c r="D75" s="14"/>
      <x:c r="E75" s="14"/>
      <x:c r="F75" s="14"/>
      <x:c r="G75" s="14"/>
      <x:c r="H75" s="14"/>
      <x:c r="I75" s="14"/>
      <x:c r="J75" s="14"/>
      <x:c r="K75" s="14"/>
      <x:c r="L75" s="14"/>
      <x:c r="M75" s="14"/>
      <x:c r="N75" s="14"/>
      <x:c r="O75" s="14"/>
      <x:c r="P75" s="14"/>
      <x:c r="Q75" s="14"/>
    </x:row>
    <x:row r="76">
      <x:c r="A76" s="14"/>
      <x:c r="B76" s="14"/>
      <x:c r="C76" s="14"/>
      <x:c r="D76" s="14"/>
      <x:c r="E76" s="14"/>
      <x:c r="F76" s="14"/>
      <x:c r="G76" s="14"/>
      <x:c r="H76" s="14"/>
      <x:c r="I76" s="14"/>
      <x:c r="J76" s="14"/>
      <x:c r="K76" s="14"/>
      <x:c r="L76" s="14"/>
      <x:c r="M76" s="14"/>
      <x:c r="N76" s="14"/>
      <x:c r="O76" s="14"/>
      <x:c r="P76" s="14"/>
      <x:c r="Q76" s="14"/>
    </x:row>
    <x:row r="77">
      <x:c r="A77" s="14"/>
      <x:c r="B77" s="14"/>
      <x:c r="C77" s="14"/>
      <x:c r="D77" s="14"/>
      <x:c r="E77" s="14"/>
      <x:c r="F77" s="14"/>
      <x:c r="G77" s="14"/>
      <x:c r="H77" s="14"/>
      <x:c r="I77" s="14"/>
      <x:c r="J77" s="14"/>
      <x:c r="K77" s="14"/>
      <x:c r="L77" s="14"/>
      <x:c r="M77" s="14"/>
      <x:c r="N77" s="14"/>
      <x:c r="O77" s="14"/>
      <x:c r="P77" s="14"/>
      <x:c r="Q77" s="14"/>
    </x:row>
    <x:row r="78">
      <x:c r="A78" s="14"/>
      <x:c r="B78" s="14"/>
      <x:c r="C78" s="14"/>
      <x:c r="D78" s="14"/>
      <x:c r="E78" s="14"/>
      <x:c r="F78" s="14"/>
      <x:c r="G78" s="14"/>
      <x:c r="H78" s="14"/>
      <x:c r="I78" s="14"/>
      <x:c r="J78" s="14"/>
      <x:c r="K78" s="14"/>
      <x:c r="L78" s="14"/>
      <x:c r="M78" s="14"/>
      <x:c r="N78" s="14"/>
      <x:c r="O78" s="14"/>
      <x:c r="P78" s="14"/>
      <x:c r="Q78" s="14"/>
    </x:row>
    <x:row r="79">
      <x:c r="A79" s="14"/>
      <x:c r="B79" s="14"/>
      <x:c r="C79" s="14"/>
      <x:c r="D79" s="14"/>
      <x:c r="E79" s="14"/>
      <x:c r="F79" s="14"/>
      <x:c r="G79" s="14"/>
      <x:c r="H79" s="14"/>
      <x:c r="I79" s="14"/>
      <x:c r="J79" s="14"/>
      <x:c r="K79" s="14"/>
      <x:c r="L79" s="14"/>
      <x:c r="M79" s="14"/>
      <x:c r="N79" s="14"/>
      <x:c r="O79" s="14"/>
      <x:c r="P79" s="14"/>
      <x:c r="Q79" s="14"/>
    </x:row>
    <x:row r="80">
      <x:c r="A80" s="14"/>
      <x:c r="B80" s="14"/>
      <x:c r="C80" s="14"/>
      <x:c r="D80" s="14"/>
      <x:c r="E80" s="14"/>
      <x:c r="F80" s="14"/>
      <x:c r="G80" s="14"/>
      <x:c r="H80" s="14"/>
      <x:c r="I80" s="14"/>
      <x:c r="J80" s="14"/>
      <x:c r="K80" s="14"/>
      <x:c r="L80" s="14"/>
      <x:c r="M80" s="14"/>
      <x:c r="N80" s="14"/>
      <x:c r="O80" s="14"/>
      <x:c r="P80" s="14"/>
      <x:c r="Q80" s="14"/>
    </x:row>
    <x:row r="81">
      <x:c r="A81" s="14"/>
      <x:c r="B81" s="14"/>
      <x:c r="C81" s="14"/>
      <x:c r="D81" s="14"/>
      <x:c r="E81" s="14"/>
      <x:c r="F81" s="14"/>
      <x:c r="G81" s="14"/>
      <x:c r="H81" s="14"/>
      <x:c r="I81" s="14"/>
      <x:c r="J81" s="14"/>
      <x:c r="K81" s="14"/>
      <x:c r="L81" s="14"/>
      <x:c r="M81" s="14"/>
      <x:c r="N81" s="14"/>
      <x:c r="O81" s="14"/>
      <x:c r="P81" s="14"/>
      <x:c r="Q81" s="14"/>
    </x:row>
    <x:row r="82">
      <x:c r="A82" s="14"/>
      <x:c r="B82" s="14"/>
      <x:c r="C82" s="14"/>
      <x:c r="D82" s="14"/>
      <x:c r="E82" s="14"/>
      <x:c r="F82" s="14"/>
      <x:c r="G82" s="14"/>
      <x:c r="H82" s="14"/>
      <x:c r="I82" s="14"/>
      <x:c r="J82" s="14"/>
      <x:c r="K82" s="14"/>
      <x:c r="L82" s="14"/>
      <x:c r="M82" s="14"/>
      <x:c r="N82" s="14"/>
      <x:c r="O82" s="14"/>
      <x:c r="P82" s="14"/>
      <x:c r="Q82" s="14"/>
    </x:row>
    <x:row r="83">
      <x:c r="A83" s="14"/>
      <x:c r="B83" s="14"/>
      <x:c r="C83" s="14"/>
      <x:c r="D83" s="14"/>
      <x:c r="E83" s="14"/>
      <x:c r="F83" s="14"/>
      <x:c r="G83" s="14"/>
      <x:c r="H83" s="14"/>
      <x:c r="I83" s="14"/>
      <x:c r="J83" s="14"/>
      <x:c r="K83" s="14"/>
      <x:c r="L83" s="14"/>
      <x:c r="M83" s="14"/>
      <x:c r="N83" s="14"/>
      <x:c r="O83" s="14"/>
      <x:c r="P83" s="14"/>
      <x:c r="Q83" s="14"/>
    </x:row>
    <x:row r="84">
      <x:c r="A84" s="14"/>
      <x:c r="B84" s="14"/>
      <x:c r="C84" s="14"/>
      <x:c r="D84" s="14"/>
      <x:c r="E84" s="14"/>
      <x:c r="F84" s="14"/>
      <x:c r="G84" s="14"/>
      <x:c r="H84" s="14"/>
      <x:c r="I84" s="14"/>
      <x:c r="J84" s="14"/>
      <x:c r="K84" s="14"/>
      <x:c r="L84" s="14"/>
      <x:c r="M84" s="14"/>
      <x:c r="N84" s="14"/>
      <x:c r="O84" s="14"/>
      <x:c r="P84" s="14"/>
      <x:c r="Q84" s="14"/>
    </x:row>
    <x:row r="85">
      <x:c r="A85" s="14"/>
      <x:c r="B85" s="14"/>
      <x:c r="C85" s="14"/>
      <x:c r="D85" s="14"/>
      <x:c r="E85" s="14"/>
      <x:c r="F85" s="14"/>
      <x:c r="G85" s="14"/>
      <x:c r="H85" s="14"/>
      <x:c r="I85" s="14"/>
      <x:c r="J85" s="14"/>
      <x:c r="K85" s="14"/>
      <x:c r="L85" s="14"/>
      <x:c r="M85" s="14"/>
      <x:c r="N85" s="14"/>
      <x:c r="O85" s="14"/>
      <x:c r="P85" s="14"/>
      <x:c r="Q85" s="14"/>
    </x:row>
    <x:row r="86">
      <x:c r="A86" s="14"/>
      <x:c r="B86" s="14"/>
      <x:c r="C86" s="14"/>
      <x:c r="D86" s="14"/>
      <x:c r="E86" s="14"/>
      <x:c r="F86" s="14"/>
      <x:c r="G86" s="14"/>
      <x:c r="H86" s="14"/>
      <x:c r="I86" s="14"/>
      <x:c r="J86" s="14"/>
      <x:c r="K86" s="14"/>
      <x:c r="L86" s="14"/>
      <x:c r="M86" s="14"/>
      <x:c r="N86" s="14"/>
      <x:c r="O86" s="14"/>
      <x:c r="P86" s="14"/>
      <x:c r="Q86" s="14"/>
    </x:row>
    <x:row r="87">
      <x:c r="A87" s="14"/>
      <x:c r="B87" s="14"/>
      <x:c r="C87" s="14"/>
      <x:c r="D87" s="14"/>
      <x:c r="E87" s="14"/>
      <x:c r="F87" s="14"/>
      <x:c r="G87" s="14"/>
      <x:c r="H87" s="14"/>
      <x:c r="I87" s="14"/>
      <x:c r="J87" s="14"/>
      <x:c r="K87" s="14"/>
      <x:c r="L87" s="14"/>
      <x:c r="M87" s="14"/>
      <x:c r="N87" s="14"/>
      <x:c r="O87" s="14"/>
      <x:c r="P87" s="14"/>
      <x:c r="Q87" s="14"/>
    </x:row>
    <x:row r="88">
      <x:c r="A88" s="14"/>
      <x:c r="B88" s="14"/>
      <x:c r="C88" s="14"/>
      <x:c r="D88" s="14"/>
      <x:c r="E88" s="14"/>
      <x:c r="F88" s="14"/>
      <x:c r="G88" s="14"/>
      <x:c r="H88" s="14"/>
      <x:c r="I88" s="14"/>
      <x:c r="J88" s="14"/>
      <x:c r="K88" s="14"/>
      <x:c r="L88" s="14"/>
      <x:c r="M88" s="14"/>
      <x:c r="N88" s="14"/>
      <x:c r="O88" s="14"/>
      <x:c r="P88" s="14"/>
      <x:c r="Q88" s="14"/>
    </x:row>
    <x:row r="89">
      <x:c r="A89" s="14"/>
      <x:c r="B89" s="14"/>
      <x:c r="C89" s="14"/>
      <x:c r="D89" s="14"/>
      <x:c r="E89" s="14"/>
      <x:c r="F89" s="14"/>
      <x:c r="G89" s="14"/>
      <x:c r="H89" s="14"/>
      <x:c r="I89" s="14"/>
      <x:c r="J89" s="14"/>
      <x:c r="K89" s="14"/>
      <x:c r="L89" s="14"/>
      <x:c r="M89" s="14"/>
      <x:c r="N89" s="14"/>
      <x:c r="O89" s="14"/>
      <x:c r="P89" s="14"/>
      <x:c r="Q89" s="14"/>
    </x:row>
    <x:row r="90">
      <x:c r="A90" s="14"/>
      <x:c r="B90" s="14"/>
      <x:c r="C90" s="14"/>
      <x:c r="D90" s="14"/>
      <x:c r="E90" s="14"/>
      <x:c r="F90" s="14"/>
      <x:c r="G90" s="14"/>
      <x:c r="H90" s="14"/>
      <x:c r="I90" s="14"/>
      <x:c r="J90" s="14"/>
      <x:c r="K90" s="14"/>
      <x:c r="L90" s="14"/>
      <x:c r="M90" s="14"/>
      <x:c r="N90" s="14"/>
      <x:c r="O90" s="14"/>
      <x:c r="P90" s="14"/>
      <x:c r="Q90" s="14"/>
    </x:row>
    <x:row r="91">
      <x:c r="A91" s="14"/>
      <x:c r="B91" s="14"/>
      <x:c r="C91" s="14"/>
      <x:c r="D91" s="14"/>
      <x:c r="E91" s="14"/>
      <x:c r="F91" s="14"/>
      <x:c r="G91" s="14"/>
      <x:c r="H91" s="14"/>
      <x:c r="I91" s="14"/>
      <x:c r="J91" s="14"/>
      <x:c r="K91" s="14"/>
      <x:c r="L91" s="14"/>
      <x:c r="M91" s="14"/>
      <x:c r="N91" s="14"/>
      <x:c r="O91" s="14"/>
      <x:c r="P91" s="14"/>
      <x:c r="Q91" s="14"/>
    </x:row>
    <x:row r="92">
      <x:c r="A92" s="14"/>
      <x:c r="B92" s="14"/>
      <x:c r="C92" s="14"/>
      <x:c r="D92" s="14"/>
      <x:c r="E92" s="14"/>
      <x:c r="F92" s="14"/>
      <x:c r="G92" s="14"/>
      <x:c r="H92" s="14"/>
      <x:c r="I92" s="14"/>
      <x:c r="J92" s="14"/>
      <x:c r="K92" s="14"/>
      <x:c r="L92" s="14"/>
      <x:c r="M92" s="14"/>
      <x:c r="N92" s="14"/>
      <x:c r="O92" s="14"/>
      <x:c r="P92" s="14"/>
      <x:c r="Q92" s="14"/>
    </x:row>
    <x:row r="93">
      <x:c r="A93" s="14"/>
      <x:c r="B93" s="14"/>
      <x:c r="C93" s="14"/>
      <x:c r="D93" s="14"/>
      <x:c r="E93" s="14"/>
      <x:c r="F93" s="14"/>
      <x:c r="G93" s="14"/>
      <x:c r="H93" s="14"/>
      <x:c r="I93" s="14"/>
      <x:c r="J93" s="14"/>
      <x:c r="K93" s="14"/>
      <x:c r="L93" s="14"/>
      <x:c r="M93" s="14"/>
      <x:c r="N93" s="14"/>
      <x:c r="O93" s="14"/>
      <x:c r="P93" s="14"/>
      <x:c r="Q93" s="14"/>
    </x:row>
    <x:row r="94">
      <x:c r="A94" s="14"/>
      <x:c r="B94" s="14"/>
      <x:c r="C94" s="14"/>
      <x:c r="D94" s="14"/>
      <x:c r="E94" s="14"/>
      <x:c r="F94" s="14"/>
      <x:c r="G94" s="14"/>
      <x:c r="H94" s="14"/>
      <x:c r="I94" s="14"/>
      <x:c r="J94" s="14"/>
      <x:c r="K94" s="14"/>
      <x:c r="L94" s="14"/>
      <x:c r="M94" s="14"/>
      <x:c r="N94" s="14"/>
      <x:c r="O94" s="14"/>
      <x:c r="P94" s="14"/>
      <x:c r="Q94" s="14"/>
    </x:row>
    <x:row r="95">
      <x:c r="A95" s="14"/>
      <x:c r="B95" s="14"/>
      <x:c r="C95" s="14"/>
      <x:c r="D95" s="14"/>
      <x:c r="E95" s="14"/>
      <x:c r="F95" s="14"/>
      <x:c r="G95" s="14"/>
      <x:c r="H95" s="14"/>
      <x:c r="I95" s="14"/>
      <x:c r="J95" s="14"/>
      <x:c r="K95" s="14"/>
      <x:c r="L95" s="14"/>
      <x:c r="M95" s="14"/>
      <x:c r="N95" s="14"/>
      <x:c r="O95" s="14"/>
      <x:c r="P95" s="14"/>
      <x:c r="Q95" s="14"/>
    </x:row>
    <x:row r="96">
      <x:c r="A96" s="14"/>
      <x:c r="B96" s="14"/>
      <x:c r="C96" s="14"/>
      <x:c r="D96" s="14"/>
      <x:c r="E96" s="14"/>
      <x:c r="F96" s="14"/>
      <x:c r="G96" s="14"/>
      <x:c r="H96" s="14"/>
      <x:c r="I96" s="14"/>
      <x:c r="J96" s="14"/>
      <x:c r="K96" s="14"/>
      <x:c r="L96" s="14"/>
      <x:c r="M96" s="14"/>
      <x:c r="N96" s="14"/>
      <x:c r="O96" s="14"/>
      <x:c r="P96" s="14"/>
      <x:c r="Q96" s="14"/>
    </x:row>
    <x:row r="97">
      <x:c r="A97" s="14"/>
      <x:c r="B97" s="14"/>
      <x:c r="C97" s="14"/>
      <x:c r="D97" s="14"/>
      <x:c r="E97" s="14"/>
      <x:c r="F97" s="14"/>
      <x:c r="G97" s="14"/>
      <x:c r="H97" s="14"/>
      <x:c r="I97" s="14"/>
      <x:c r="J97" s="14"/>
      <x:c r="K97" s="14"/>
      <x:c r="L97" s="14"/>
      <x:c r="M97" s="14"/>
      <x:c r="N97" s="14"/>
      <x:c r="O97" s="14"/>
      <x:c r="P97" s="14"/>
      <x:c r="Q97" s="14"/>
    </x:row>
    <x:row r="98">
      <x:c r="A98" s="14"/>
      <x:c r="B98" s="14"/>
      <x:c r="C98" s="14"/>
      <x:c r="D98" s="14"/>
      <x:c r="E98" s="14"/>
      <x:c r="F98" s="14"/>
      <x:c r="G98" s="14"/>
      <x:c r="H98" s="14"/>
      <x:c r="I98" s="14"/>
      <x:c r="J98" s="14"/>
      <x:c r="K98" s="14"/>
      <x:c r="L98" s="14"/>
      <x:c r="M98" s="14"/>
      <x:c r="N98" s="14"/>
      <x:c r="O98" s="14"/>
      <x:c r="P98" s="14"/>
      <x:c r="Q98" s="14"/>
    </x:row>
    <x:row r="99">
      <x:c r="A99" s="14"/>
      <x:c r="B99" s="14"/>
      <x:c r="C99" s="14"/>
      <x:c r="D99" s="14"/>
      <x:c r="E99" s="14"/>
      <x:c r="F99" s="14"/>
      <x:c r="G99" s="14"/>
      <x:c r="H99" s="14"/>
      <x:c r="I99" s="14"/>
      <x:c r="J99" s="14"/>
      <x:c r="K99" s="14"/>
      <x:c r="L99" s="14"/>
      <x:c r="M99" s="14"/>
      <x:c r="N99" s="14"/>
      <x:c r="O99" s="14"/>
      <x:c r="P99" s="14"/>
      <x:c r="Q99" s="14"/>
    </x:row>
    <x:row r="100">
      <x:c r="A100" s="14"/>
      <x:c r="B100" s="14"/>
      <x:c r="C100" s="14"/>
      <x:c r="D100" s="14"/>
      <x:c r="E100" s="14"/>
      <x:c r="F100" s="14"/>
      <x:c r="G100" s="14"/>
      <x:c r="H100" s="14"/>
      <x:c r="I100" s="14"/>
      <x:c r="J100" s="14"/>
      <x:c r="K100" s="14"/>
      <x:c r="L100" s="14"/>
      <x:c r="M100" s="14"/>
      <x:c r="N100" s="14"/>
      <x:c r="O100" s="14"/>
      <x:c r="P100" s="14"/>
      <x:c r="Q100" s="14"/>
    </x:row>
  </x:sheetData>
  <x:pageMargins left="0.7" right="0.7" top="0.75" bottom="0.75" header="0.3" footer="0.3"/>
</x:worksheet>
</file>

<file path=xl/worksheets/sheet28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30" hidden="0" customWidth="1"/>
    <x:col min="5" max="5" width="30" hidden="0" customWidth="1"/>
    <x:col min="6" max="6" width="42" hidden="0" customWidth="1"/>
    <x:col min="7" max="7" width="16" hidden="0" customWidth="1"/>
  </x:cols>
  <x:sheetData>
    <x:row r="1">
      <x:c r="A1" s="151" t="str">
        <x:v>metric_id</x:v>
      </x:c>
      <x:c r="B1" s="151" t="str">
        <x:v>metric</x:v>
      </x:c>
      <x:c r="C1" s="151" t="str">
        <x:v>operational_formula_or_rule</x:v>
      </x:c>
      <x:c r="D1" s="151" t="str">
        <x:v>v1.6_value</x:v>
      </x:c>
      <x:c r="E1" s="151" t="str">
        <x:v>status</x:v>
      </x:c>
      <x:c r="F1" s="151" t="str">
        <x:v>interpretation</x:v>
      </x:c>
      <x:c r="G1" s="151" t="str">
        <x:v>stop_condition</x:v>
      </x:c>
    </x:row>
    <x:row r="2">
      <x:c r="A2" s="14" t="str">
        <x:v>SAT-001</x:v>
      </x:c>
      <x:c r="B2" s="14" t="str">
        <x:v>arXiv marginal new A-node yield</x:v>
      </x:c>
      <x:c r="C2" s="14" t="str">
        <x:v>new_A_nodes / screened_records</x:v>
      </x:c>
      <x:c r="D2" s="14" t="n">
        <x:v>0</x:v>
      </x:c>
      <x:c r="E2" s="14" t="str">
        <x:v>not_satisfied</x:v>
      </x:c>
      <x:c r="F2" s="14" t="str">
        <x:v>No new A nodes in this batch, but one batch is not enough.</x:v>
      </x:c>
      <x:c r="G2" s="14" t="str">
        <x:v>Need 3 consecutive &gt;=50-record batches with zero A nodes.</x:v>
      </x:c>
    </x:row>
    <x:row r="3">
      <x:c r="A3" s="14" t="str">
        <x:v>SAT-002</x:v>
      </x:c>
      <x:c r="B3" s="14" t="str">
        <x:v>arXiv B/B-C candidate yield</x:v>
      </x:c>
      <x:c r="C3" s="14" t="str">
        <x:v>new_B_or_BC_candidates / screened_records</x:v>
      </x:c>
      <x:c r="D3" s="14" t="str">
        <x:v>7 / 13 ≈ 54%</x:v>
      </x:c>
      <x:c r="E3" s="14" t="str">
        <x:v>not_satisfied</x:v>
      </x:c>
      <x:c r="F3" s="14" t="str">
        <x:v>Manual targeted queries still produce many candidates; source not exhausted.</x:v>
      </x:c>
      <x:c r="G3" s="14" t="str">
        <x:v>Needs &lt;=2 B per &gt;=50 screened records for 3 consecutive batches.</x:v>
      </x:c>
    </x:row>
    <x:row r="4">
      <x:c r="A4" s="14" t="str">
        <x:v>SAT-003</x:v>
      </x:c>
      <x:c r="B4" s="14" t="str">
        <x:v>Duplicate signal</x:v>
      </x:c>
      <x:c r="C4" s="14" t="str">
        <x:v>duplicate_hits / screened_records</x:v>
      </x:c>
      <x:c r="D4" s="14" t="str">
        <x:v>3 / 13 ≈ 23%</x:v>
      </x:c>
      <x:c r="E4" s="14" t="str">
        <x:v>early_signal_only</x:v>
      </x:c>
      <x:c r="F4" s="14" t="str">
        <x:v>Duplicate rate is rising but not dominant.</x:v>
      </x:c>
      <x:c r="G4" s="14" t="str">
        <x:v>High duplicate rate plus low A/B yield across large batches.</x:v>
      </x:c>
    </x:row>
    <x:row r="5">
      <x:c r="A5" s="14" t="str">
        <x:v>SAT-004</x:v>
      </x:c>
      <x:c r="B5" s="14" t="str">
        <x:v>Boundary/adjacent pressure</x:v>
      </x:c>
      <x:c r="C5" s="14" t="str">
        <x:v>C_or_boundary_hits / screened_records</x:v>
      </x:c>
      <x:c r="D5" s="14" t="str">
        <x:v>3 / 13 ≈ 23%</x:v>
      </x:c>
      <x:c r="E5" s="14" t="str">
        <x:v>watch</x:v>
      </x:c>
      <x:c r="F5" s="14" t="str">
        <x:v>Many remaining finds are adjacent; taxonomy needs explicit in/out decision.</x:v>
      </x:c>
      <x:c r="G5" s="14" t="str">
        <x:v>Boundary cases should be classified before public release.</x:v>
      </x:c>
    </x:row>
    <x:row r="6">
      <x:c r="A6" s="14" t="str">
        <x:v>SAT-005</x:v>
      </x:c>
      <x:c r="B6" s="14" t="str">
        <x:v>Affiliation debt</x:v>
      </x:c>
      <x:c r="C6" s="14" t="str">
        <x:v>needs_manual_check among new canonical rows</x:v>
      </x:c>
      <x:c r="D6" s="14" t="str">
        <x:v>6 / 10</x:v>
      </x:c>
      <x:c r="E6" s="14" t="str">
        <x:v>not_satisfied</x:v>
      </x:c>
      <x:c r="F6" s="14" t="str">
        <x:v>Paper discovery is outpacing affiliation normalization.</x:v>
      </x:c>
      <x:c r="G6" s="14" t="str">
        <x:v>Before promotion, &gt;=90% of rows should have resolved institution/country or explicit keep/exclude.</x:v>
      </x:c>
    </x:row>
    <x:row r="7">
      <x:c r="A7" s="14" t="str">
        <x:v>SAT-006</x:v>
      </x:c>
      <x:c r="B7" s="14" t="str">
        <x:v>Review citation coverage</x:v>
      </x:c>
      <x:c r="C7" s="14" t="str">
        <x:v>processed Review_Seeds / total Review_Seeds</x:v>
      </x:c>
      <x:c r="D7" s="14" t="str">
        <x:v>not run</x:v>
      </x:c>
      <x:c r="E7" s="14" t="str">
        <x:v>not_satisfied</x:v>
      </x:c>
      <x:c r="F7" s="14" t="str">
        <x:v>Cannot claim exhaustion before citation mining of reviews.</x:v>
      </x:c>
      <x:c r="G7" s="14" t="str">
        <x:v>All Review_Seeds processed with reference counts.</x:v>
      </x:c>
    </x:row>
    <x:row r="8">
      <x:c r="A8" s="14" t="str">
        <x:v>SAT-007</x:v>
      </x:c>
      <x:c r="B8" s="14" t="str">
        <x:v>API reproducibility</x:v>
      </x:c>
      <x:c r="C8" s="14" t="str">
        <x:v>queries with actual counts / total query grid</x:v>
      </x:c>
      <x:c r="D8" s="14" t="str">
        <x:v>manual only</x:v>
      </x:c>
      <x:c r="E8" s="14" t="str">
        <x:v>not_satisfied</x:v>
      </x:c>
      <x:c r="F8" s="14" t="str">
        <x:v>Manual search is useful but not enough for exhaustion claim.</x:v>
      </x:c>
      <x:c r="G8" s="14" t="str">
        <x:v>Run arXiv/OpenAlex/S2 query grid with counts and date filters.</x:v>
      </x:c>
    </x:row>
    <x:row r="9">
      <x:c r="A9" s="14" t="str">
        <x:v>v2.0</x:v>
      </x:c>
      <x:c r="B9" s="14" t="str">
        <x:v>REV-009 cleanup/promotions</x:v>
      </x:c>
      <x:c r="C9" s="14" t="n">
        <x:v>12</x:v>
      </x:c>
      <x:c r="D9" s="14" t="n">
        <x:v>0</x:v>
      </x:c>
      <x:c r="E9" s="14" t="n">
        <x:v>5</x:v>
      </x:c>
      <x:c r="F9" s="14" t="n">
        <x:v>5</x:v>
      </x:c>
      <x:c r="G9" s="14" t="str">
        <x:v>Review references still not exhausted for B/C theory nodes; A-core remains stable.</x:v>
      </x:c>
    </x:row>
    <x:row r="10">
      <x:c r="A10" s="14"/>
      <x:c r="B10" s="14"/>
      <x:c r="C10" s="14"/>
      <x:c r="D10" s="14"/>
      <x:c r="E10" s="14"/>
      <x:c r="F10" s="14"/>
      <x:c r="G10" s="14"/>
    </x:row>
    <x:row r="11">
      <x:c r="A11" s="14"/>
      <x:c r="B11" s="14"/>
      <x:c r="C11" s="14"/>
      <x:c r="D11" s="14"/>
      <x:c r="E11" s="14"/>
      <x:c r="F11" s="14"/>
      <x:c r="G11" s="14"/>
    </x:row>
    <x:row r="12">
      <x:c r="A12" s="14"/>
      <x:c r="B12" s="14"/>
      <x:c r="C12" s="14"/>
      <x:c r="D12" s="14"/>
      <x:c r="E12" s="14"/>
      <x:c r="F12" s="14"/>
      <x:c r="G12" s="14"/>
    </x:row>
    <x:row r="13">
      <x:c r="A13" s="14"/>
      <x:c r="B13" s="14"/>
      <x:c r="C13" s="14"/>
      <x:c r="D13" s="14"/>
      <x:c r="E13" s="14"/>
      <x:c r="F13" s="14"/>
      <x:c r="G13" s="14"/>
    </x:row>
    <x:row r="14">
      <x:c r="A14" s="14"/>
      <x:c r="B14" s="14"/>
      <x:c r="C14" s="14"/>
      <x:c r="D14" s="14"/>
      <x:c r="E14" s="14"/>
      <x:c r="F14" s="14"/>
      <x:c r="G14" s="14"/>
    </x:row>
    <x:row r="15">
      <x:c r="A15" s="14"/>
      <x:c r="B15" s="14"/>
      <x:c r="C15" s="14"/>
      <x:c r="D15" s="14"/>
      <x:c r="E15" s="14"/>
      <x:c r="F15" s="14"/>
      <x:c r="G15" s="14"/>
    </x:row>
    <x:row r="16">
      <x:c r="A16" s="14"/>
      <x:c r="B16" s="14"/>
      <x:c r="C16" s="14"/>
      <x:c r="D16" s="14"/>
      <x:c r="E16" s="14"/>
      <x:c r="F16" s="14"/>
      <x:c r="G16" s="14"/>
    </x:row>
    <x:row r="17">
      <x:c r="A17" s="14"/>
      <x:c r="B17" s="14"/>
      <x:c r="C17" s="14"/>
      <x:c r="D17" s="14"/>
      <x:c r="E17" s="14"/>
      <x:c r="F17" s="14"/>
      <x:c r="G17" s="14"/>
    </x:row>
    <x:row r="18">
      <x:c r="A18" s="14"/>
      <x:c r="B18" s="14"/>
      <x:c r="C18" s="14"/>
      <x:c r="D18" s="14"/>
      <x:c r="E18" s="14"/>
      <x:c r="F18" s="14"/>
      <x:c r="G18" s="14"/>
    </x:row>
    <x:row r="19">
      <x:c r="A19" s="14"/>
      <x:c r="B19" s="14"/>
      <x:c r="C19" s="14"/>
      <x:c r="D19" s="14"/>
      <x:c r="E19" s="14"/>
      <x:c r="F19" s="14"/>
      <x:c r="G19" s="14"/>
    </x:row>
    <x:row r="20">
      <x:c r="A20" s="14"/>
      <x:c r="B20" s="14"/>
      <x:c r="C20" s="14"/>
      <x:c r="D20" s="14"/>
      <x:c r="E20" s="14"/>
      <x:c r="F20" s="14"/>
      <x:c r="G20" s="14"/>
    </x:row>
    <x:row r="21">
      <x:c r="A21" s="14"/>
      <x:c r="B21" s="14"/>
      <x:c r="C21" s="14"/>
      <x:c r="D21" s="14"/>
      <x:c r="E21" s="14"/>
      <x:c r="F21" s="14"/>
      <x:c r="G21" s="14"/>
    </x:row>
    <x:row r="22">
      <x:c r="A22" s="14"/>
      <x:c r="B22" s="14"/>
      <x:c r="C22" s="14"/>
      <x:c r="D22" s="14"/>
      <x:c r="E22" s="14"/>
      <x:c r="F22" s="14"/>
      <x:c r="G22" s="14"/>
    </x:row>
    <x:row r="23">
      <x:c r="A23" s="14"/>
      <x:c r="B23" s="14"/>
      <x:c r="C23" s="14"/>
      <x:c r="D23" s="14"/>
      <x:c r="E23" s="14"/>
      <x:c r="F23" s="14"/>
      <x:c r="G23" s="14"/>
    </x:row>
    <x:row r="24">
      <x:c r="A24" s="14"/>
      <x:c r="B24" s="14"/>
      <x:c r="C24" s="14"/>
      <x:c r="D24" s="14"/>
      <x:c r="E24" s="14"/>
      <x:c r="F24" s="14"/>
      <x:c r="G24" s="14"/>
    </x:row>
    <x:row r="25">
      <x:c r="A25" s="14"/>
      <x:c r="B25" s="14"/>
      <x:c r="C25" s="14"/>
      <x:c r="D25" s="14"/>
      <x:c r="E25" s="14"/>
      <x:c r="F25" s="14"/>
      <x:c r="G25" s="14"/>
    </x:row>
    <x:row r="26">
      <x:c r="A26" s="14"/>
      <x:c r="B26" s="14"/>
      <x:c r="C26" s="14"/>
      <x:c r="D26" s="14"/>
      <x:c r="E26" s="14"/>
      <x:c r="F26" s="14"/>
      <x:c r="G26" s="14"/>
    </x:row>
    <x:row r="27">
      <x:c r="A27" s="14"/>
      <x:c r="B27" s="14"/>
      <x:c r="C27" s="14"/>
      <x:c r="D27" s="14"/>
      <x:c r="E27" s="14"/>
      <x:c r="F27" s="14"/>
      <x:c r="G27" s="14"/>
    </x:row>
    <x:row r="28">
      <x:c r="A28" s="14"/>
      <x:c r="B28" s="14"/>
      <x:c r="C28" s="14"/>
      <x:c r="D28" s="14"/>
      <x:c r="E28" s="14"/>
      <x:c r="F28" s="14"/>
      <x:c r="G28" s="14"/>
    </x:row>
    <x:row r="29">
      <x:c r="A29" s="14"/>
      <x:c r="B29" s="14"/>
      <x:c r="C29" s="14"/>
      <x:c r="D29" s="14"/>
      <x:c r="E29" s="14"/>
      <x:c r="F29" s="14"/>
      <x:c r="G29" s="14"/>
    </x:row>
    <x:row r="30">
      <x:c r="A30" s="14"/>
      <x:c r="B30" s="14"/>
      <x:c r="C30" s="14"/>
      <x:c r="D30" s="14"/>
      <x:c r="E30" s="14"/>
      <x:c r="F30" s="14"/>
      <x:c r="G30" s="14"/>
    </x:row>
    <x:row r="31">
      <x:c r="A31" s="14"/>
      <x:c r="B31" s="14"/>
      <x:c r="C31" s="14"/>
      <x:c r="D31" s="14"/>
      <x:c r="E31" s="14"/>
      <x:c r="F31" s="14"/>
      <x:c r="G31" s="14"/>
    </x:row>
    <x:row r="32">
      <x:c r="A32" s="14"/>
      <x:c r="B32" s="14"/>
      <x:c r="C32" s="14"/>
      <x:c r="D32" s="14"/>
      <x:c r="E32" s="14"/>
      <x:c r="F32" s="14"/>
      <x:c r="G32" s="14"/>
    </x:row>
    <x:row r="33">
      <x:c r="A33" s="14"/>
      <x:c r="B33" s="14"/>
      <x:c r="C33" s="14"/>
      <x:c r="D33" s="14"/>
      <x:c r="E33" s="14"/>
      <x:c r="F33" s="14"/>
      <x:c r="G33" s="14"/>
    </x:row>
    <x:row r="34">
      <x:c r="A34" s="14"/>
      <x:c r="B34" s="14"/>
      <x:c r="C34" s="14"/>
      <x:c r="D34" s="14"/>
      <x:c r="E34" s="14"/>
      <x:c r="F34" s="14"/>
      <x:c r="G34" s="14"/>
    </x:row>
    <x:row r="35">
      <x:c r="A35" s="14"/>
      <x:c r="B35" s="14"/>
      <x:c r="C35" s="14"/>
      <x:c r="D35" s="14"/>
      <x:c r="E35" s="14"/>
      <x:c r="F35" s="14"/>
      <x:c r="G35" s="14"/>
    </x:row>
    <x:row r="36">
      <x:c r="A36" s="14"/>
      <x:c r="B36" s="14"/>
      <x:c r="C36" s="14"/>
      <x:c r="D36" s="14"/>
      <x:c r="E36" s="14"/>
      <x:c r="F36" s="14"/>
      <x:c r="G36" s="14"/>
    </x:row>
    <x:row r="37">
      <x:c r="A37" s="14"/>
      <x:c r="B37" s="14"/>
      <x:c r="C37" s="14"/>
      <x:c r="D37" s="14"/>
      <x:c r="E37" s="14"/>
      <x:c r="F37" s="14"/>
      <x:c r="G37" s="14"/>
    </x:row>
    <x:row r="38">
      <x:c r="A38" s="14"/>
      <x:c r="B38" s="14"/>
      <x:c r="C38" s="14"/>
      <x:c r="D38" s="14"/>
      <x:c r="E38" s="14"/>
      <x:c r="F38" s="14"/>
      <x:c r="G38" s="14"/>
    </x:row>
    <x:row r="39">
      <x:c r="A39" s="14"/>
      <x:c r="B39" s="14"/>
      <x:c r="C39" s="14"/>
      <x:c r="D39" s="14"/>
      <x:c r="E39" s="14"/>
      <x:c r="F39" s="14"/>
      <x:c r="G39" s="14"/>
    </x:row>
    <x:row r="40">
      <x:c r="A40" s="14"/>
      <x:c r="B40" s="14"/>
      <x:c r="C40" s="14"/>
      <x:c r="D40" s="14"/>
      <x:c r="E40" s="14"/>
      <x:c r="F40" s="14"/>
      <x:c r="G40" s="14"/>
    </x:row>
    <x:row r="41">
      <x:c r="A41" s="14"/>
      <x:c r="B41" s="14"/>
      <x:c r="C41" s="14"/>
      <x:c r="D41" s="14"/>
      <x:c r="E41" s="14"/>
      <x:c r="F41" s="14"/>
      <x:c r="G41" s="14"/>
    </x:row>
    <x:row r="42">
      <x:c r="A42" s="14"/>
      <x:c r="B42" s="14"/>
      <x:c r="C42" s="14"/>
      <x:c r="D42" s="14"/>
      <x:c r="E42" s="14"/>
      <x:c r="F42" s="14"/>
      <x:c r="G42" s="14"/>
    </x:row>
    <x:row r="43">
      <x:c r="A43" s="14"/>
      <x:c r="B43" s="14"/>
      <x:c r="C43" s="14"/>
      <x:c r="D43" s="14"/>
      <x:c r="E43" s="14"/>
      <x:c r="F43" s="14"/>
      <x:c r="G43" s="14"/>
    </x:row>
    <x:row r="44">
      <x:c r="A44" s="14"/>
      <x:c r="B44" s="14"/>
      <x:c r="C44" s="14"/>
      <x:c r="D44" s="14"/>
      <x:c r="E44" s="14"/>
      <x:c r="F44" s="14"/>
      <x:c r="G44" s="14"/>
    </x:row>
    <x:row r="45">
      <x:c r="A45" s="14"/>
      <x:c r="B45" s="14"/>
      <x:c r="C45" s="14"/>
      <x:c r="D45" s="14"/>
      <x:c r="E45" s="14"/>
      <x:c r="F45" s="14"/>
      <x:c r="G45" s="14"/>
    </x:row>
    <x:row r="46">
      <x:c r="A46" s="14"/>
      <x:c r="B46" s="14"/>
      <x:c r="C46" s="14"/>
      <x:c r="D46" s="14"/>
      <x:c r="E46" s="14"/>
      <x:c r="F46" s="14"/>
      <x:c r="G46" s="14"/>
    </x:row>
    <x:row r="47">
      <x:c r="A47" s="14"/>
      <x:c r="B47" s="14"/>
      <x:c r="C47" s="14"/>
      <x:c r="D47" s="14"/>
      <x:c r="E47" s="14"/>
      <x:c r="F47" s="14"/>
      <x:c r="G47" s="14"/>
    </x:row>
    <x:row r="48">
      <x:c r="A48" s="14"/>
      <x:c r="B48" s="14"/>
      <x:c r="C48" s="14"/>
      <x:c r="D48" s="14"/>
      <x:c r="E48" s="14"/>
      <x:c r="F48" s="14"/>
      <x:c r="G48" s="14"/>
    </x:row>
    <x:row r="49">
      <x:c r="A49" s="14"/>
      <x:c r="B49" s="14"/>
      <x:c r="C49" s="14"/>
      <x:c r="D49" s="14"/>
      <x:c r="E49" s="14"/>
      <x:c r="F49" s="14"/>
      <x:c r="G49" s="14"/>
    </x:row>
    <x:row r="50">
      <x:c r="A50" s="14"/>
      <x:c r="B50" s="14"/>
      <x:c r="C50" s="14"/>
      <x:c r="D50" s="14"/>
      <x:c r="E50" s="14"/>
      <x:c r="F50" s="14"/>
      <x:c r="G50" s="14"/>
    </x:row>
    <x:row r="51">
      <x:c r="A51" s="14"/>
      <x:c r="B51" s="14"/>
      <x:c r="C51" s="14"/>
      <x:c r="D51" s="14"/>
      <x:c r="E51" s="14"/>
      <x:c r="F51" s="14"/>
      <x:c r="G51" s="14"/>
    </x:row>
    <x:row r="52">
      <x:c r="A52" s="14"/>
      <x:c r="B52" s="14"/>
      <x:c r="C52" s="14"/>
      <x:c r="D52" s="14"/>
      <x:c r="E52" s="14"/>
      <x:c r="F52" s="14"/>
      <x:c r="G52" s="14"/>
    </x:row>
    <x:row r="53">
      <x:c r="A53" s="14"/>
      <x:c r="B53" s="14"/>
      <x:c r="C53" s="14"/>
      <x:c r="D53" s="14"/>
      <x:c r="E53" s="14"/>
      <x:c r="F53" s="14"/>
      <x:c r="G53" s="14"/>
    </x:row>
    <x:row r="54">
      <x:c r="A54" s="14"/>
      <x:c r="B54" s="14"/>
      <x:c r="C54" s="14"/>
      <x:c r="D54" s="14"/>
      <x:c r="E54" s="14"/>
      <x:c r="F54" s="14"/>
      <x:c r="G54" s="14"/>
    </x:row>
    <x:row r="55">
      <x:c r="A55" s="14"/>
      <x:c r="B55" s="14"/>
      <x:c r="C55" s="14"/>
      <x:c r="D55" s="14"/>
      <x:c r="E55" s="14"/>
      <x:c r="F55" s="14"/>
      <x:c r="G55" s="14"/>
    </x:row>
    <x:row r="56">
      <x:c r="A56" s="14"/>
      <x:c r="B56" s="14"/>
      <x:c r="C56" s="14"/>
      <x:c r="D56" s="14"/>
      <x:c r="E56" s="14"/>
      <x:c r="F56" s="14"/>
      <x:c r="G56" s="14"/>
    </x:row>
    <x:row r="57">
      <x:c r="A57" s="14"/>
      <x:c r="B57" s="14"/>
      <x:c r="C57" s="14"/>
      <x:c r="D57" s="14"/>
      <x:c r="E57" s="14"/>
      <x:c r="F57" s="14"/>
      <x:c r="G57" s="14"/>
    </x:row>
    <x:row r="58">
      <x:c r="A58" s="14"/>
      <x:c r="B58" s="14"/>
      <x:c r="C58" s="14"/>
      <x:c r="D58" s="14"/>
      <x:c r="E58" s="14"/>
      <x:c r="F58" s="14"/>
      <x:c r="G58" s="14"/>
    </x:row>
    <x:row r="59">
      <x:c r="A59" s="14"/>
      <x:c r="B59" s="14"/>
      <x:c r="C59" s="14"/>
      <x:c r="D59" s="14"/>
      <x:c r="E59" s="14"/>
      <x:c r="F59" s="14"/>
      <x:c r="G59" s="14"/>
    </x:row>
    <x:row r="60">
      <x:c r="A60" s="14"/>
      <x:c r="B60" s="14"/>
      <x:c r="C60" s="14"/>
      <x:c r="D60" s="14"/>
      <x:c r="E60" s="14"/>
      <x:c r="F60" s="14"/>
      <x:c r="G60" s="14"/>
    </x:row>
    <x:row r="61">
      <x:c r="A61" s="14"/>
      <x:c r="B61" s="14"/>
      <x:c r="C61" s="14"/>
      <x:c r="D61" s="14"/>
      <x:c r="E61" s="14"/>
      <x:c r="F61" s="14"/>
      <x:c r="G61" s="14"/>
    </x:row>
    <x:row r="62">
      <x:c r="A62" s="14"/>
      <x:c r="B62" s="14"/>
      <x:c r="C62" s="14"/>
      <x:c r="D62" s="14"/>
      <x:c r="E62" s="14"/>
      <x:c r="F62" s="14"/>
      <x:c r="G62" s="14"/>
    </x:row>
    <x:row r="63">
      <x:c r="A63" s="14"/>
      <x:c r="B63" s="14"/>
      <x:c r="C63" s="14"/>
      <x:c r="D63" s="14"/>
      <x:c r="E63" s="14"/>
      <x:c r="F63" s="14"/>
      <x:c r="G63" s="14"/>
    </x:row>
    <x:row r="64">
      <x:c r="A64" s="14"/>
      <x:c r="B64" s="14"/>
      <x:c r="C64" s="14"/>
      <x:c r="D64" s="14"/>
      <x:c r="E64" s="14"/>
      <x:c r="F64" s="14"/>
      <x:c r="G64" s="14"/>
    </x:row>
    <x:row r="65">
      <x:c r="A65" s="14"/>
      <x:c r="B65" s="14"/>
      <x:c r="C65" s="14"/>
      <x:c r="D65" s="14"/>
      <x:c r="E65" s="14"/>
      <x:c r="F65" s="14"/>
      <x:c r="G65" s="14"/>
    </x:row>
    <x:row r="66">
      <x:c r="A66" s="14"/>
      <x:c r="B66" s="14"/>
      <x:c r="C66" s="14"/>
      <x:c r="D66" s="14"/>
      <x:c r="E66" s="14"/>
      <x:c r="F66" s="14"/>
      <x:c r="G66" s="14"/>
    </x:row>
    <x:row r="67">
      <x:c r="A67" s="14"/>
      <x:c r="B67" s="14"/>
      <x:c r="C67" s="14"/>
      <x:c r="D67" s="14"/>
      <x:c r="E67" s="14"/>
      <x:c r="F67" s="14"/>
      <x:c r="G67" s="14"/>
    </x:row>
    <x:row r="68">
      <x:c r="A68" s="14"/>
      <x:c r="B68" s="14"/>
      <x:c r="C68" s="14"/>
      <x:c r="D68" s="14"/>
      <x:c r="E68" s="14"/>
      <x:c r="F68" s="14"/>
      <x:c r="G68" s="14"/>
    </x:row>
    <x:row r="69">
      <x:c r="A69" s="14"/>
      <x:c r="B69" s="14"/>
      <x:c r="C69" s="14"/>
      <x:c r="D69" s="14"/>
      <x:c r="E69" s="14"/>
      <x:c r="F69" s="14"/>
      <x:c r="G69" s="14"/>
    </x:row>
    <x:row r="70">
      <x:c r="A70" s="14"/>
      <x:c r="B70" s="14"/>
      <x:c r="C70" s="14"/>
      <x:c r="D70" s="14"/>
      <x:c r="E70" s="14"/>
      <x:c r="F70" s="14"/>
      <x:c r="G70" s="14"/>
    </x:row>
    <x:row r="71">
      <x:c r="A71" s="14"/>
      <x:c r="B71" s="14"/>
      <x:c r="C71" s="14"/>
      <x:c r="D71" s="14"/>
      <x:c r="E71" s="14"/>
      <x:c r="F71" s="14"/>
      <x:c r="G71" s="14"/>
    </x:row>
    <x:row r="72">
      <x:c r="A72" s="14"/>
      <x:c r="B72" s="14"/>
      <x:c r="C72" s="14"/>
      <x:c r="D72" s="14"/>
      <x:c r="E72" s="14"/>
      <x:c r="F72" s="14"/>
      <x:c r="G72" s="14"/>
    </x:row>
    <x:row r="73">
      <x:c r="A73" s="14"/>
      <x:c r="B73" s="14"/>
      <x:c r="C73" s="14"/>
      <x:c r="D73" s="14"/>
      <x:c r="E73" s="14"/>
      <x:c r="F73" s="14"/>
      <x:c r="G73" s="14"/>
    </x:row>
    <x:row r="74">
      <x:c r="A74" s="14"/>
      <x:c r="B74" s="14"/>
      <x:c r="C74" s="14"/>
      <x:c r="D74" s="14"/>
      <x:c r="E74" s="14"/>
      <x:c r="F74" s="14"/>
      <x:c r="G74" s="14"/>
    </x:row>
    <x:row r="75">
      <x:c r="A75" s="14"/>
      <x:c r="B75" s="14"/>
      <x:c r="C75" s="14"/>
      <x:c r="D75" s="14"/>
      <x:c r="E75" s="14"/>
      <x:c r="F75" s="14"/>
      <x:c r="G75" s="14"/>
    </x:row>
    <x:row r="76">
      <x:c r="A76" s="14"/>
      <x:c r="B76" s="14"/>
      <x:c r="C76" s="14"/>
      <x:c r="D76" s="14"/>
      <x:c r="E76" s="14"/>
      <x:c r="F76" s="14"/>
      <x:c r="G76" s="14"/>
    </x:row>
    <x:row r="77">
      <x:c r="A77" s="14"/>
      <x:c r="B77" s="14"/>
      <x:c r="C77" s="14"/>
      <x:c r="D77" s="14"/>
      <x:c r="E77" s="14"/>
      <x:c r="F77" s="14"/>
      <x:c r="G77" s="14"/>
    </x:row>
    <x:row r="78">
      <x:c r="A78" s="14"/>
      <x:c r="B78" s="14"/>
      <x:c r="C78" s="14"/>
      <x:c r="D78" s="14"/>
      <x:c r="E78" s="14"/>
      <x:c r="F78" s="14"/>
      <x:c r="G78" s="14"/>
    </x:row>
    <x:row r="79">
      <x:c r="A79" s="14"/>
      <x:c r="B79" s="14"/>
      <x:c r="C79" s="14"/>
      <x:c r="D79" s="14"/>
      <x:c r="E79" s="14"/>
      <x:c r="F79" s="14"/>
      <x:c r="G79" s="14"/>
    </x:row>
    <x:row r="80">
      <x:c r="A80" s="14"/>
      <x:c r="B80" s="14"/>
      <x:c r="C80" s="14"/>
      <x:c r="D80" s="14"/>
      <x:c r="E80" s="14"/>
      <x:c r="F80" s="14"/>
      <x:c r="G80" s="14"/>
    </x:row>
    <x:row r="81">
      <x:c r="A81" s="14"/>
      <x:c r="B81" s="14"/>
      <x:c r="C81" s="14"/>
      <x:c r="D81" s="14"/>
      <x:c r="E81" s="14"/>
      <x:c r="F81" s="14"/>
      <x:c r="G81" s="14"/>
    </x:row>
    <x:row r="82">
      <x:c r="A82" s="14"/>
      <x:c r="B82" s="14"/>
      <x:c r="C82" s="14"/>
      <x:c r="D82" s="14"/>
      <x:c r="E82" s="14"/>
      <x:c r="F82" s="14"/>
      <x:c r="G82" s="14"/>
    </x:row>
    <x:row r="83">
      <x:c r="A83" s="14"/>
      <x:c r="B83" s="14"/>
      <x:c r="C83" s="14"/>
      <x:c r="D83" s="14"/>
      <x:c r="E83" s="14"/>
      <x:c r="F83" s="14"/>
      <x:c r="G83" s="14"/>
    </x:row>
    <x:row r="84">
      <x:c r="A84" s="14"/>
      <x:c r="B84" s="14"/>
      <x:c r="C84" s="14"/>
      <x:c r="D84" s="14"/>
      <x:c r="E84" s="14"/>
      <x:c r="F84" s="14"/>
      <x:c r="G84" s="14"/>
    </x:row>
    <x:row r="85">
      <x:c r="A85" s="14"/>
      <x:c r="B85" s="14"/>
      <x:c r="C85" s="14"/>
      <x:c r="D85" s="14"/>
      <x:c r="E85" s="14"/>
      <x:c r="F85" s="14"/>
      <x:c r="G85" s="14"/>
    </x:row>
    <x:row r="86">
      <x:c r="A86" s="14"/>
      <x:c r="B86" s="14"/>
      <x:c r="C86" s="14"/>
      <x:c r="D86" s="14"/>
      <x:c r="E86" s="14"/>
      <x:c r="F86" s="14"/>
      <x:c r="G86" s="14"/>
    </x:row>
    <x:row r="87">
      <x:c r="A87" s="14"/>
      <x:c r="B87" s="14"/>
      <x:c r="C87" s="14"/>
      <x:c r="D87" s="14"/>
      <x:c r="E87" s="14"/>
      <x:c r="F87" s="14"/>
      <x:c r="G87" s="14"/>
    </x:row>
    <x:row r="88">
      <x:c r="A88" s="14"/>
      <x:c r="B88" s="14"/>
      <x:c r="C88" s="14"/>
      <x:c r="D88" s="14"/>
      <x:c r="E88" s="14"/>
      <x:c r="F88" s="14"/>
      <x:c r="G88" s="14"/>
    </x:row>
    <x:row r="89">
      <x:c r="A89" s="14"/>
      <x:c r="B89" s="14"/>
      <x:c r="C89" s="14"/>
      <x:c r="D89" s="14"/>
      <x:c r="E89" s="14"/>
      <x:c r="F89" s="14"/>
      <x:c r="G89" s="14"/>
    </x:row>
    <x:row r="90">
      <x:c r="A90" s="14"/>
      <x:c r="B90" s="14"/>
      <x:c r="C90" s="14"/>
      <x:c r="D90" s="14"/>
      <x:c r="E90" s="14"/>
      <x:c r="F90" s="14"/>
      <x:c r="G90" s="14"/>
    </x:row>
    <x:row r="91">
      <x:c r="A91" s="14"/>
      <x:c r="B91" s="14"/>
      <x:c r="C91" s="14"/>
      <x:c r="D91" s="14"/>
      <x:c r="E91" s="14"/>
      <x:c r="F91" s="14"/>
      <x:c r="G91" s="14"/>
    </x:row>
    <x:row r="92">
      <x:c r="A92" s="14"/>
      <x:c r="B92" s="14"/>
      <x:c r="C92" s="14"/>
      <x:c r="D92" s="14"/>
      <x:c r="E92" s="14"/>
      <x:c r="F92" s="14"/>
      <x:c r="G92" s="14"/>
    </x:row>
    <x:row r="93">
      <x:c r="A93" s="14"/>
      <x:c r="B93" s="14"/>
      <x:c r="C93" s="14"/>
      <x:c r="D93" s="14"/>
      <x:c r="E93" s="14"/>
      <x:c r="F93" s="14"/>
      <x:c r="G93" s="14"/>
    </x:row>
    <x:row r="94">
      <x:c r="A94" s="14"/>
      <x:c r="B94" s="14"/>
      <x:c r="C94" s="14"/>
      <x:c r="D94" s="14"/>
      <x:c r="E94" s="14"/>
      <x:c r="F94" s="14"/>
      <x:c r="G94" s="14"/>
    </x:row>
    <x:row r="95">
      <x:c r="A95" s="14"/>
      <x:c r="B95" s="14"/>
      <x:c r="C95" s="14"/>
      <x:c r="D95" s="14"/>
      <x:c r="E95" s="14"/>
      <x:c r="F95" s="14"/>
      <x:c r="G95" s="14"/>
    </x:row>
    <x:row r="96">
      <x:c r="A96" s="14"/>
      <x:c r="B96" s="14"/>
      <x:c r="C96" s="14"/>
      <x:c r="D96" s="14"/>
      <x:c r="E96" s="14"/>
      <x:c r="F96" s="14"/>
      <x:c r="G96" s="14"/>
    </x:row>
    <x:row r="97">
      <x:c r="A97" s="14"/>
      <x:c r="B97" s="14"/>
      <x:c r="C97" s="14"/>
      <x:c r="D97" s="14"/>
      <x:c r="E97" s="14"/>
      <x:c r="F97" s="14"/>
      <x:c r="G97" s="14"/>
    </x:row>
    <x:row r="98">
      <x:c r="A98" s="14"/>
      <x:c r="B98" s="14"/>
      <x:c r="C98" s="14"/>
      <x:c r="D98" s="14"/>
      <x:c r="E98" s="14"/>
      <x:c r="F98" s="14"/>
      <x:c r="G98" s="14"/>
    </x:row>
    <x:row r="99">
      <x:c r="A99" s="14"/>
      <x:c r="B99" s="14"/>
      <x:c r="C99" s="14"/>
      <x:c r="D99" s="14"/>
      <x:c r="E99" s="14"/>
      <x:c r="F99" s="14"/>
      <x:c r="G99" s="14"/>
    </x:row>
    <x:row r="100">
      <x:c r="A100" s="14"/>
      <x:c r="B100" s="14"/>
      <x:c r="C100" s="14"/>
      <x:c r="D100" s="14"/>
      <x:c r="E100" s="14"/>
      <x:c r="F100" s="14"/>
      <x:c r="G100" s="14"/>
    </x:row>
  </x:sheetData>
  <x:pageMargins left="0.7" right="0.7" top="0.75" bottom="0.75" header="0.3" footer="0.3"/>
</x:worksheet>
</file>

<file path=xl/worksheets/sheet29.xml><?xml version="1.0" encoding="utf-8"?>
<x:worksheet xmlns:x="http://schemas.openxmlformats.org/spreadsheetml/2006/main">
  <x:sheetFormatPr defaultRowHeight="15"/>
  <x:sheetData>
    <x:row r="1">
      <x:c r="A1" s="151" t="str">
        <x:v>item</x:v>
      </x:c>
      <x:c r="B1" s="151" t="str">
        <x:v>value</x:v>
      </x:c>
      <x:c r="C1" s="151" t="str">
        <x:v>interpretation</x:v>
      </x:c>
      <x:c r="D1" s="151" t="str">
        <x:v>next_action</x:v>
      </x:c>
    </x:row>
    <x:row r="2">
      <x:c r="A2" s="14" t="str">
        <x:v>canonical paper rows added</x:v>
      </x:c>
      <x:c r="B2" s="14" t="n">
        <x:v>10</x:v>
      </x:c>
      <x:c r="C2" s="14" t="str">
        <x:v>Paper layer expands without contaminating Database.</x:v>
      </x:c>
      <x:c r="D2" s="14" t="str">
        <x:v>Clean affiliations before promotions.</x:v>
      </x:c>
    </x:row>
    <x:row r="3">
      <x:c r="A3" s="14" t="str">
        <x:v>screened duplicate hits</x:v>
      </x:c>
      <x:c r="B3" s="14" t="n">
        <x:v>3</x:v>
      </x:c>
      <x:c r="C3" s="14" t="str">
        <x:v>Duplicate signal is emerging but not yet saturation.</x:v>
      </x:c>
      <x:c r="D3" s="14" t="str">
        <x:v>Use larger API batches to measure true rate.</x:v>
      </x:c>
    </x:row>
    <x:row r="4">
      <x:c r="A4" s="14" t="str">
        <x:v>new A nodes</x:v>
      </x:c>
      <x:c r="B4" s="14" t="n">
        <x:v>0</x:v>
      </x:c>
      <x:c r="C4" s="14" t="str">
        <x:v>Good sign of maturity but not enough to stop.</x:v>
      </x:c>
      <x:c r="D4" s="14" t="str">
        <x:v>Need three larger batches with same result.</x:v>
      </x:c>
    </x:row>
    <x:row r="5">
      <x:c r="A5" s="14" t="str">
        <x:v>new B/B-C candidates</x:v>
      </x:c>
      <x:c r="B5" s="14" t="n">
        <x:v>7</x:v>
      </x:c>
      <x:c r="C5" s="14" t="str">
        <x:v>Still too high to claim arXiv exhaustion.</x:v>
      </x:c>
      <x:c r="D5" s="14" t="str">
        <x:v>Run API query grid and deduplicate.</x:v>
      </x:c>
    </x:row>
    <x:row r="6">
      <x:c r="A6" s="14" t="str">
        <x:v>new C/adjacent candidates</x:v>
      </x:c>
      <x:c r="B6" s="14" t="n">
        <x:v>3</x:v>
      </x:c>
      <x:c r="C6" s="14" t="str">
        <x:v>Scope boundary is becoming important.</x:v>
      </x:c>
      <x:c r="D6" s="14" t="str">
        <x:v>Decide sensing/molecules/cavity interconnect boundary.</x:v>
      </x:c>
    </x:row>
    <x:row r="7">
      <x:c r="A7" s="14" t="str">
        <x:v>Database promotions</x:v>
      </x:c>
      <x:c r="B7" s="14" t="n">
        <x:v>0</x:v>
      </x:c>
      <x:c r="C7" s="14" t="str">
        <x:v>Conservative update; map export remains v1.5.</x:v>
      </x:c>
      <x:c r="D7" s="14" t="str">
        <x:v>Promote only after affiliation cleanup.</x:v>
      </x:c>
    </x:row>
    <x:row r="8">
      <x:c r="A8" s="14" t="str">
        <x:v>Current stop decision</x:v>
      </x:c>
      <x:c r="B8" s="14" t="str">
        <x:v>continue</x:v>
      </x:c>
      <x:c r="C8" s="14" t="str">
        <x:v>Operational exhaustion criteria not met.</x:v>
      </x:c>
      <x:c r="D8" s="14" t="str">
        <x:v>v1.7 should be API-style query-count batch or review-citation batch.</x:v>
      </x:c>
    </x:row>
    <x:row r="9">
      <x:c r="A9" s="14"/>
      <x:c r="B9" s="14"/>
      <x:c r="C9" s="14"/>
      <x:c r="D9" s="14"/>
    </x:row>
    <x:row r="10">
      <x:c r="A10" s="14"/>
      <x:c r="B10" s="14"/>
      <x:c r="C10" s="14"/>
      <x:c r="D10" s="14"/>
    </x:row>
    <x:row r="11">
      <x:c r="A11" s="14"/>
      <x:c r="B11" s="14"/>
      <x:c r="C11" s="14"/>
      <x:c r="D11" s="14"/>
    </x:row>
    <x:row r="12">
      <x:c r="A12" s="14"/>
      <x:c r="B12" s="14"/>
      <x:c r="C12" s="14"/>
      <x:c r="D12" s="14"/>
    </x:row>
    <x:row r="13">
      <x:c r="A13" s="14"/>
      <x:c r="B13" s="14"/>
      <x:c r="C13" s="14"/>
      <x:c r="D13" s="14"/>
    </x:row>
    <x:row r="14">
      <x:c r="A14" s="14"/>
      <x:c r="B14" s="14"/>
      <x:c r="C14" s="14"/>
      <x:c r="D14" s="14"/>
    </x:row>
    <x:row r="15">
      <x:c r="A15" s="14"/>
      <x:c r="B15" s="14"/>
      <x:c r="C15" s="14"/>
      <x:c r="D15" s="14"/>
    </x:row>
    <x:row r="16">
      <x:c r="A16" s="14"/>
      <x:c r="B16" s="14"/>
      <x:c r="C16" s="14"/>
      <x:c r="D16" s="14"/>
    </x:row>
    <x:row r="17">
      <x:c r="A17" s="14"/>
      <x:c r="B17" s="14"/>
      <x:c r="C17" s="14"/>
      <x:c r="D17" s="14"/>
    </x:row>
    <x:row r="18">
      <x:c r="A18" s="14"/>
      <x:c r="B18" s="14"/>
      <x:c r="C18" s="14"/>
      <x:c r="D18" s="14"/>
    </x:row>
    <x:row r="19">
      <x:c r="A19" s="14"/>
      <x:c r="B19" s="14"/>
      <x:c r="C19" s="14"/>
      <x:c r="D19" s="14"/>
    </x:row>
    <x:row r="20">
      <x:c r="A20" s="14"/>
      <x:c r="B20" s="14"/>
      <x:c r="C20" s="14"/>
      <x:c r="D20" s="14"/>
    </x:row>
  </x:sheetData>
  <x:pageMargins left="0.7" right="0.7" top="0.75" bottom="0.75" header="0.3" footer="0.3"/>
</x:worksheet>
</file>

<file path=xl/worksheets/sheet30.xml><?xml version="1.0" encoding="utf-8"?>
<x:worksheet xmlns:x="http://schemas.openxmlformats.org/spreadsheetml/2006/main">
  <x:sheetFormatPr defaultRowHeight="15"/>
  <x:cols>
    <x:col min="1" max="1" width="11.25" hidden="0" customWidth="1"/>
    <x:col min="2" max="2" width="16.8799991607666" hidden="0" customWidth="1"/>
    <x:col min="3" max="3" width="75.62999725341797" hidden="0" customWidth="1"/>
    <x:col min="4" max="4" width="18.25" hidden="0" customWidth="1"/>
    <x:col min="5" max="5" width="15.25" hidden="0" customWidth="1"/>
    <x:col min="6" max="6" width="53.75" hidden="0" customWidth="1"/>
    <x:col min="7" max="7" width="14.880000114440918" hidden="0" customWidth="1"/>
    <x:col min="8" max="8" width="12.630000114440918" hidden="0" customWidth="1"/>
    <x:col min="9" max="9" width="8.880000114440918" hidden="0" customWidth="1"/>
    <x:col min="10" max="10" width="25.3799991607666" hidden="0" customWidth="1"/>
    <x:col min="11" max="11" width="73.37999725341797" hidden="0" customWidth="1"/>
    <x:col min="12" max="12" width="54.630001068115234" hidden="0" customWidth="1"/>
    <x:col min="13" max="13" width="54.5" hidden="0" customWidth="1"/>
  </x:cols>
  <x:sheetData>
    <x:row r="1">
      <x:c r="A1" s="155" t="str">
        <x:v>record_id</x:v>
      </x:c>
      <x:c r="B1" s="155" t="str">
        <x:v>last_author</x:v>
      </x:c>
      <x:c r="C1" s="155" t="str">
        <x:v>paper_title</x:v>
      </x:c>
      <x:c r="D1" s="155" t="str">
        <x:v>decision</x:v>
      </x:c>
      <x:c r="E1" s="155" t="str">
        <x:v>database_entity_id</x:v>
      </x:c>
      <x:c r="F1" s="155" t="str">
        <x:v>institution_normalized</x:v>
      </x:c>
      <x:c r="G1" s="155" t="str">
        <x:v>city</x:v>
      </x:c>
      <x:c r="H1" s="155" t="str">
        <x:v>country</x:v>
      </x:c>
      <x:c r="I1" s="155" t="str">
        <x:v>confidence</x:v>
      </x:c>
      <x:c r="J1" s="155" t="str">
        <x:v>source_1</x:v>
      </x:c>
      <x:c r="K1" s="155" t="str">
        <x:v>source_2</x:v>
      </x:c>
      <x:c r="L1" s="155" t="str">
        <x:v>curator_note</x:v>
      </x:c>
      <x:c r="M1" s="155" t="str">
        <x:v>next_action</x:v>
      </x:c>
    </x:row>
    <x:row r="2">
      <x:c r="A2" s="14" t="str">
        <x:v>ARXIV-PI-0085</x:v>
      </x:c>
      <x:c r="B2" s="14" t="str">
        <x:v>Lode Pollet</x:v>
      </x:c>
      <x:c r="C2" s="14" t="str">
        <x:v>Supersolidity in Rydberg tweezer arrays</x:v>
      </x:c>
      <x:c r="D2" s="14" t="str">
        <x:v>promote</x:v>
      </x:c>
      <x:c r="E2" s="14" t="str">
        <x:v>E-071</x:v>
      </x:c>
      <x:c r="F2" s="14" t="str">
        <x:v>LMU Munich</x:v>
      </x:c>
      <x:c r="G2" s="14" t="str">
        <x:v>Munich</x:v>
      </x:c>
      <x:c r="H2" s="14" t="str">
        <x:v>Germany</x:v>
      </x:c>
      <x:c r="I2" s="14" t="str">
        <x:v>B</x:v>
      </x:c>
      <x:c r="J2" s="14" t="str">
        <x:v>https://arxiv.org/abs/2407.12752</x:v>
      </x:c>
      <x:c r="K2" s="14" t="str">
        <x:v>https://www.theorie.physik.uni-muenchen.de/lsschollwoeck/people/professors/pollet/index.html</x:v>
      </x:c>
      <x:c r="L2" s="14" t="str">
        <x:v>Theory/mixed node; direct Rydberg tweezer array paper.</x:v>
      </x:c>
      <x:c r="M2" s="14" t="str">
        <x:v>Link broader publication list later.</x:v>
      </x:c>
    </x:row>
    <x:row r="3">
      <x:c r="A3" s="14" t="str">
        <x:v>ARXIV-PI-0086</x:v>
      </x:c>
      <x:c r="B3" s="14" t="str">
        <x:v>Amar Vutha</x:v>
      </x:c>
      <x:c r="C3" s="14" t="str">
        <x:v>Detecting dark matter using optically trapped Rydberg atom tweezer arrays</x:v>
      </x:c>
      <x:c r="D3" s="14" t="str">
        <x:v>promote_adjacent</x:v>
      </x:c>
      <x:c r="E3" s="14" t="str">
        <x:v>E-073</x:v>
      </x:c>
      <x:c r="F3" s="14" t="str">
        <x:v>University of Toronto</x:v>
      </x:c>
      <x:c r="G3" s="14" t="str">
        <x:v>Toronto</x:v>
      </x:c>
      <x:c r="H3" s="14" t="str">
        <x:v>Canada</x:v>
      </x:c>
      <x:c r="I3" s="14" t="str">
        <x:v>C</x:v>
      </x:c>
      <x:c r="J3" s="14" t="str">
        <x:v>https://arxiv.org/abs/2507.12860</x:v>
      </x:c>
      <x:c r="K3" s="14" t="str">
        <x:v>https://www.physics.utoronto.ca/~vutha/</x:v>
      </x:c>
      <x:c r="L3" s="14" t="str">
        <x:v>Adjacent sensing proposal, not QC core.</x:v>
      </x:c>
      <x:c r="M3" s="14" t="str">
        <x:v>Decide map layer visibility for sensing/metrology.</x:v>
      </x:c>
    </x:row>
    <x:row r="4">
      <x:c r="A4" s="14" t="str">
        <x:v>ARXIV-PI-0087</x:v>
      </x:c>
      <x:c r="B4" s="14" t="str">
        <x:v>Vito W. Scarola</x:v>
      </x:c>
      <x:c r="C4" s="14" t="str">
        <x:v>Toward Quantum Analogue Simulation of Many-Body Supersymmetry with Rydberg Atom Arrays</x:v>
      </x:c>
      <x:c r="D4" s="14" t="str">
        <x:v>promote</x:v>
      </x:c>
      <x:c r="E4" s="14" t="str">
        <x:v>E-072</x:v>
      </x:c>
      <x:c r="F4" s="14" t="str">
        <x:v>Virginia Tech</x:v>
      </x:c>
      <x:c r="G4" s="14" t="str">
        <x:v>Blacksburg</x:v>
      </x:c>
      <x:c r="H4" s="14" t="str">
        <x:v>United States</x:v>
      </x:c>
      <x:c r="I4" s="14" t="str">
        <x:v>B</x:v>
      </x:c>
      <x:c r="J4" s="14" t="str">
        <x:v>https://arxiv.org/abs/2405.21073</x:v>
      </x:c>
      <x:c r="K4" s="14" t="str">
        <x:v>https://scarola.phys.vt.edu/</x:v>
      </x:c>
      <x:c r="L4" s="14" t="str">
        <x:v>Theory/simulation node.</x:v>
      </x:c>
      <x:c r="M4" s="14" t="str">
        <x:v>Check coauthor ecosystem.</x:v>
      </x:c>
    </x:row>
    <x:row r="5">
      <x:c r="A5" s="14" t="str">
        <x:v>ARXIV-PI-0088</x:v>
      </x:c>
      <x:c r="B5" s="14" t="str">
        <x:v>Seiji Yunoki</x:v>
      </x:c>
      <x:c r="C5" s="14" t="str">
        <x:v>Pulse-based optimization of quantum many-body states with Rydberg atoms in optical tweezer arrays</x:v>
      </x:c>
      <x:c r="D5" s="14" t="str">
        <x:v>promote</x:v>
      </x:c>
      <x:c r="E5" s="14" t="str">
        <x:v>E-074</x:v>
      </x:c>
      <x:c r="F5" s="14" t="str">
        <x:v>RIKEN</x:v>
      </x:c>
      <x:c r="G5" s="14" t="str">
        <x:v>Wako</x:v>
      </x:c>
      <x:c r="H5" s="14" t="str">
        <x:v>Japan</x:v>
      </x:c>
      <x:c r="I5" s="14" t="str">
        <x:v>B</x:v>
      </x:c>
      <x:c r="J5" s="14" t="str">
        <x:v>https://arxiv.org/abs/2507.19153</x:v>
      </x:c>
      <x:c r="K5" s="14" t="str">
        <x:v>https://cems.riken.jp/laboratory/cqmrt</x:v>
      </x:c>
      <x:c r="L5" s="14" t="str">
        <x:v>Theory/control node.</x:v>
      </x:c>
      <x:c r="M5" s="14" t="str">
        <x:v>Check if Dauphin team should be separate.</x:v>
      </x:c>
    </x:row>
    <x:row r="6">
      <x:c r="A6" s="14" t="str">
        <x:v>ARXIV-PI-0089</x:v>
      </x:c>
      <x:c r="B6" s="14" t="str">
        <x:v>Sebastian Hofferberth</x:v>
      </x:c>
      <x:c r="C6" s="14" t="str">
        <x:v>Magic running- and standing-wave optical traps for Rydberg atoms</x:v>
      </x:c>
      <x:c r="D6" s="14" t="str">
        <x:v>promote_adjacent</x:v>
      </x:c>
      <x:c r="E6" s="14" t="str">
        <x:v>E-075</x:v>
      </x:c>
      <x:c r="F6" s="14" t="str">
        <x:v>University of Bonn</x:v>
      </x:c>
      <x:c r="G6" s="14" t="str">
        <x:v>Bonn</x:v>
      </x:c>
      <x:c r="H6" s="14" t="str">
        <x:v>Germany</x:v>
      </x:c>
      <x:c r="I6" s="14" t="str">
        <x:v>C</x:v>
      </x:c>
      <x:c r="J6" s="14" t="str">
        <x:v>https://arxiv.org/abs/2410.20901</x:v>
      </x:c>
      <x:c r="K6" s="14" t="str">
        <x:v>https://www.iap.uni-bonn.de/nqo/en/nqonews/rqo-paper-published-in-pra</x:v>
      </x:c>
      <x:c r="L6" s="14" t="str">
        <x:v>Enabling Rydberg trapping physics, not a core processor node.</x:v>
      </x:c>
      <x:c r="M6" s="14" t="str">
        <x:v>Keep C unless direct Rydberg-array evidence appears.</x:v>
      </x:c>
    </x:row>
    <x:row r="7">
      <x:c r="A7" s="14" t="str">
        <x:v>ARXIV-PI-0090</x:v>
      </x:c>
      <x:c r="B7" s="14" t="str">
        <x:v>Gerhard Rempe</x:v>
      </x:c>
      <x:c r="C7" s="14" t="str">
        <x:v>A quantum-network register assembled with optical tweezers in an optical cavity</x:v>
      </x:c>
      <x:c r="D7" s="14" t="str">
        <x:v>paper_layer_only</x:v>
      </x:c>
      <x:c r="E7" s="14"/>
      <x:c r="F7" s="14" t="str">
        <x:v>Max Planck Institute of Quantum Optics</x:v>
      </x:c>
      <x:c r="G7" s="14" t="str">
        <x:v>Garching</x:v>
      </x:c>
      <x:c r="H7" s="14" t="str">
        <x:v>Germany</x:v>
      </x:c>
      <x:c r="I7" s="14" t="str">
        <x:v>C</x:v>
      </x:c>
      <x:c r="J7" s="14" t="str">
        <x:v>https://arxiv.org/abs/2407.09109</x:v>
      </x:c>
      <x:c r="K7" s="14"/>
      <x:c r="L7" s="14" t="str">
        <x:v>Tweezer/cavity interface but no central Rydberg result here.</x:v>
      </x:c>
      <x:c r="M7" s="14" t="str">
        <x:v>Keep out of Database unless neutral-atom networking layer is expanded.</x:v>
      </x:c>
    </x:row>
    <x:row r="8">
      <x:c r="A8" s="14" t="str">
        <x:v>ARXIV-PI-0091</x:v>
      </x:c>
      <x:c r="B8" s="14" t="str">
        <x:v>Lin Li</x:v>
      </x:c>
      <x:c r="C8" s="14" t="str">
        <x:v>Microwave electrometry with quantum-limited resolutions in a Rydberg atom array</x:v>
      </x:c>
      <x:c r="D8" s="14" t="str">
        <x:v>match_existing</x:v>
      </x:c>
      <x:c r="E8" s="14" t="str">
        <x:v>E-058</x:v>
      </x:c>
      <x:c r="F8" s="14" t="str">
        <x:v>Huazhong University of Science and Technology</x:v>
      </x:c>
      <x:c r="G8" s="14" t="str">
        <x:v>Wuhan</x:v>
      </x:c>
      <x:c r="H8" s="14" t="str">
        <x:v>China</x:v>
      </x:c>
      <x:c r="I8" s="14" t="str">
        <x:v>B</x:v>
      </x:c>
      <x:c r="J8" s="14" t="str">
        <x:v>https://arxiv.org/abs/2512.05413</x:v>
      </x:c>
      <x:c r="K8" s="14" t="str">
        <x:v>https://www.linlilab.cn/</x:v>
      </x:c>
      <x:c r="L8" s="14" t="str">
        <x:v>Matched to existing E-058; no duplicate row.</x:v>
      </x:c>
      <x:c r="M8" s="14" t="str">
        <x:v>Add paper to Lin Li notes in a later cleanup.</x:v>
      </x:c>
    </x:row>
    <x:row r="9">
      <x:c r="A9" s="14" t="str">
        <x:v>ARXIV-PI-0092</x:v>
      </x:c>
      <x:c r="B9" s="14" t="str">
        <x:v>Oleg V. Lychkovskiy</x:v>
      </x:c>
      <x:c r="C9" s="14" t="str">
        <x:v>All-to-all connectivity of Rydberg-atom-based quantum processors with messenger qubits</x:v>
      </x:c>
      <x:c r="D9" s="14" t="str">
        <x:v>promote_needs_review</x:v>
      </x:c>
      <x:c r="E9" s="14" t="str">
        <x:v>E-077</x:v>
      </x:c>
      <x:c r="F9" s="14" t="str">
        <x:v>Skolkovo Institute of Science and Technology / Russian Quantum Center</x:v>
      </x:c>
      <x:c r="G9" s="14" t="str">
        <x:v>Moscow / Skolkovo</x:v>
      </x:c>
      <x:c r="H9" s="14" t="str">
        <x:v>Russia</x:v>
      </x:c>
      <x:c r="I9" s="14" t="str">
        <x:v>B/C</x:v>
      </x:c>
      <x:c r="J9" s="14" t="str">
        <x:v>https://arxiv.org/abs/2504.05087</x:v>
      </x:c>
      <x:c r="K9" s="14" t="str">
        <x:v>https://arxiv.org/html/2504.05087v3</x:v>
      </x:c>
      <x:c r="L9" s="14" t="str">
        <x:v>Architecture theory node, but institution/node requires one more check.</x:v>
      </x:c>
      <x:c r="M9" s="14" t="str">
        <x:v>Verify whether Skoltech, RQC, or Fedorov node is primary.</x:v>
      </x:c>
    </x:row>
    <x:row r="10">
      <x:c r="A10" s="14" t="str">
        <x:v>ARXIV-PI-0093</x:v>
      </x:c>
      <x:c r="B10" s="14" t="str">
        <x:v>Jakub Zakrzewski</x:v>
      </x:c>
      <x:c r="C10" s="14" t="str">
        <x:v>Interplay of localization and topology in disordered dimerized arrays of Rydberg atoms</x:v>
      </x:c>
      <x:c r="D10" s="14" t="str">
        <x:v>promote</x:v>
      </x:c>
      <x:c r="E10" s="14" t="str">
        <x:v>E-076</x:v>
      </x:c>
      <x:c r="F10" s="14" t="str">
        <x:v>Jagiellonian University in Kraków</x:v>
      </x:c>
      <x:c r="G10" s="14" t="str">
        <x:v>Kraków</x:v>
      </x:c>
      <x:c r="H10" s="14" t="str">
        <x:v>Poland</x:v>
      </x:c>
      <x:c r="I10" s="14" t="str">
        <x:v>B</x:v>
      </x:c>
      <x:c r="J10" s="14" t="str">
        <x:v>https://arxiv.org/abs/2505.07720</x:v>
      </x:c>
      <x:c r="K10" s="14" t="str">
        <x:v>https://arxiv.org/pdf/2505.07720</x:v>
      </x:c>
      <x:c r="L10" s="14" t="str">
        <x:v>Theory node with PDF affiliation.</x:v>
      </x:c>
      <x:c r="M10" s="14" t="str">
        <x:v>Add official group page if available.</x:v>
      </x:c>
    </x:row>
    <x:row r="11">
      <x:c r="A11" s="14" t="str">
        <x:v>ARXIV-PI-0094</x:v>
      </x:c>
      <x:c r="B11" s="14" t="str">
        <x:v>Simon L. Cornish</x:v>
      </x:c>
      <x:c r="C11" s="14" t="str">
        <x:v>Enhanced quantum control of individual ultracold molecules using optical tweezer arrays</x:v>
      </x:c>
      <x:c r="D11" s="14" t="str">
        <x:v>paper_layer_only</x:v>
      </x:c>
      <x:c r="E11" s="14"/>
      <x:c r="F11" s="14" t="str">
        <x:v>Durham University</x:v>
      </x:c>
      <x:c r="G11" s="14" t="str">
        <x:v>Durham</x:v>
      </x:c>
      <x:c r="H11" s="14" t="str">
        <x:v>United Kingdom</x:v>
      </x:c>
      <x:c r="I11" s="14" t="str">
        <x:v>C</x:v>
      </x:c>
      <x:c r="J11" s="14" t="str">
        <x:v>https://arxiv.org/abs/2401.13593</x:v>
      </x:c>
      <x:c r="K11" s="14"/>
      <x:c r="L11" s="14" t="str">
        <x:v>Molecule tweezer adjacent case; not Rydberg-tweezer core.</x:v>
      </x:c>
      <x:c r="M11" s="14" t="str">
        <x:v>Do not promote unless molecule layer is expanded.</x:v>
      </x:c>
    </x:row>
  </x:sheetData>
  <x:pageMargins left="0.7" right="0.7" top="0.75" bottom="0.75" header="0.3" footer="0.3"/>
</x:worksheet>
</file>

<file path=xl/worksheets/sheet31.xml><?xml version="1.0" encoding="utf-8"?>
<x:worksheet xmlns:x="http://schemas.openxmlformats.org/spreadsheetml/2006/main">
  <x:sheetFormatPr defaultRowHeight="15"/>
  <x:cols>
    <x:col min="1" max="1" width="19.3799991607666" hidden="0" customWidth="1"/>
    <x:col min="2" max="2" width="47.5" hidden="0" customWidth="1"/>
    <x:col min="3" max="3" width="79.62999725341797" hidden="0" customWidth="1"/>
  </x:cols>
  <x:sheetData>
    <x:row r="1">
      <x:c r="A1" s="158" t="str">
        <x:v>metric</x:v>
      </x:c>
      <x:c r="B1" s="158" t="str">
        <x:v>value</x:v>
      </x:c>
      <x:c r="C1" s="158" t="str">
        <x:v>notes</x:v>
      </x:c>
    </x:row>
    <x:row r="2">
      <x:c r="A2" s="14" t="str">
        <x:v>Version</x:v>
      </x:c>
      <x:c r="B2" s="14" t="str">
        <x:v>v1.7</x:v>
      </x:c>
      <x:c r="C2" s="14" t="str">
        <x:v>Affiliation cleanup and conservative promotions from v1.6 candidate batch.</x:v>
      </x:c>
    </x:row>
    <x:row r="3">
      <x:c r="A3" s="14" t="str">
        <x:v>Database entries total</x:v>
      </x:c>
      <x:c r="B3" s="14" t="n">
        <x:v>77</x:v>
      </x:c>
      <x:c r="C3" s="14" t="str">
        <x:v>Added E-071 to E-077.</x:v>
      </x:c>
    </x:row>
    <x:row r="4">
      <x:c r="A4" s="14" t="str">
        <x:v>New Database rows</x:v>
      </x:c>
      <x:c r="B4" s="14" t="n">
        <x:v>7</x:v>
      </x:c>
      <x:c r="C4" s="14" t="str">
        <x:v>5 B nodes, 2 C/adjacent nodes; one B row kept needs_review.</x:v>
      </x:c>
    </x:row>
    <x:row r="5">
      <x:c r="A5" s="14" t="str">
        <x:v>New A nodes</x:v>
      </x:c>
      <x:c r="B5" s="14" t="n">
        <x:v>0</x:v>
      </x:c>
      <x:c r="C5" s="14" t="str">
        <x:v>No new A-core nodes found; supports early saturation for core experimental layer, but not enough to stop.</x:v>
      </x:c>
    </x:row>
    <x:row r="6">
      <x:c r="A6" s="14" t="str">
        <x:v>v1.6 candidates reviewed</x:v>
      </x:c>
      <x:c r="B6" s="14" t="n">
        <x:v>10</x:v>
      </x:c>
      <x:c r="C6" s="14" t="str">
        <x:v>Rows ARXIV-PI-0085 to ARXIV-PI-0094.</x:v>
      </x:c>
    </x:row>
    <x:row r="7">
      <x:c r="A7" s="14" t="str">
        <x:v>Promoted</x:v>
      </x:c>
      <x:c r="B7" s="14" t="n">
        <x:v>7</x:v>
      </x:c>
      <x:c r="C7" s="14" t="str">
        <x:v>Pollet, Scarola, Vutha, Yunoki, Hofferberth, Zakrzewski, Lychkovskiy/Fedorov.</x:v>
      </x:c>
    </x:row>
    <x:row r="8">
      <x:c r="A8" s="14" t="str">
        <x:v>Matched existing</x:v>
      </x:c>
      <x:c r="B8" s="14" t="n">
        <x:v>1</x:v>
      </x:c>
      <x:c r="C8" s="14" t="str">
        <x:v>Lin Li matched to E-058.</x:v>
      </x:c>
    </x:row>
    <x:row r="9">
      <x:c r="A9" s="14" t="str">
        <x:v>Kept paper-layer only</x:v>
      </x:c>
      <x:c r="B9" s="14" t="n">
        <x:v>2</x:v>
      </x:c>
      <x:c r="C9" s="14" t="str">
        <x:v>Rempe/cavity networking and Cornish/molecule tweezer branch remain adjacent.</x:v>
      </x:c>
    </x:row>
    <x:row r="10">
      <x:c r="A10" s="14" t="str">
        <x:v>Next action</x:v>
      </x:c>
      <x:c r="B10" s="14" t="str">
        <x:v>Run arXiv API-style query grid counts OR review-citation mining</x:v>
      </x:c>
      <x:c r="C10" s="14" t="str">
        <x:v>Do not keep doing only manual targeted searches; measure recall/saturation.</x:v>
      </x:c>
    </x:row>
  </x:sheetData>
  <x:pageMargins left="0.7" right="0.7" top="0.75" bottom="0.75" header="0.3" footer="0.3"/>
</x:worksheet>
</file>

<file path=xl/worksheets/sheet32.xml><?xml version="1.0" encoding="utf-8"?>
<x:worksheet xmlns:x="http://schemas.openxmlformats.org/spreadsheetml/2006/main">
  <x:sheetFormatPr defaultRowHeight="15"/>
  <x:cols>
    <x:col min="1" max="1" width="15.130000114440918" hidden="0" customWidth="1"/>
    <x:col min="2" max="2" width="23.25" hidden="0" customWidth="1"/>
    <x:col min="3" max="3" width="14" hidden="0" customWidth="1"/>
    <x:col min="4" max="4" width="13.75" hidden="0" customWidth="1"/>
    <x:col min="5" max="5" width="11.380000114440918" hidden="0" customWidth="1"/>
    <x:col min="6" max="6" width="23" hidden="0" customWidth="1"/>
    <x:col min="7" max="7" width="15.75" hidden="0" customWidth="1"/>
    <x:col min="8" max="8" width="17.25" hidden="0" customWidth="1"/>
    <x:col min="9" max="9" width="57.25" hidden="0" customWidth="1"/>
    <x:col min="10" max="10" width="65.5" hidden="0" customWidth="1"/>
  </x:cols>
  <x:sheetData>
    <x:row r="1">
      <x:c r="A1" s="162" t="str">
        <x:v>run_id</x:v>
      </x:c>
      <x:c r="B1" s="162" t="str">
        <x:v>run_type</x:v>
      </x:c>
      <x:c r="C1" s="162" t="str">
        <x:v>screened_records</x:v>
      </x:c>
      <x:c r="D1" s="162" t="str">
        <x:v>new_paper_rows</x:v>
      </x:c>
      <x:c r="E1" s="162" t="str">
        <x:v>new_A_nodes</x:v>
      </x:c>
      <x:c r="F1" s="162" t="str">
        <x:v>new_B_nodes_or_candidates</x:v>
      </x:c>
      <x:c r="G1" s="162" t="str">
        <x:v>new_C_or_adjacent</x:v>
      </x:c>
      <x:c r="H1" s="162" t="str">
        <x:v>database_promotions</x:v>
      </x:c>
      <x:c r="I1" s="162" t="str">
        <x:v>affiliation_debt_after_run</x:v>
      </x:c>
      <x:c r="J1" s="162" t="str">
        <x:v>saturation_interpretation</x:v>
      </x:c>
    </x:row>
    <x:row r="2">
      <x:c r="A2" s="14" t="str">
        <x:v>RUN-ARXIV-v1.6</x:v>
      </x:c>
      <x:c r="B2" s="14" t="str">
        <x:v>manual arXiv discovery</x:v>
      </x:c>
      <x:c r="C2" s="14" t="n">
        <x:v>13</x:v>
      </x:c>
      <x:c r="D2" s="14" t="n">
        <x:v>10</x:v>
      </x:c>
      <x:c r="E2" s="14" t="n">
        <x:v>0</x:v>
      </x:c>
      <x:c r="F2" s="14" t="n">
        <x:v>7</x:v>
      </x:c>
      <x:c r="G2" s="14" t="n">
        <x:v>3</x:v>
      </x:c>
      <x:c r="H2" s="14" t="n">
        <x:v>0</x:v>
      </x:c>
      <x:c r="I2" s="14" t="str">
        <x:v>6/10 new canonical rows needed manual check</x:v>
      </x:c>
      <x:c r="J2" s="14" t="str">
        <x:v>Not saturated: candidate yield still high.</x:v>
      </x:c>
    </x:row>
    <x:row r="3">
      <x:c r="A3" s="14" t="str">
        <x:v>RUN-CLEANUP-v1.7</x:v>
      </x:c>
      <x:c r="B3" s="14" t="str">
        <x:v>affiliation cleanup/promotions</x:v>
      </x:c>
      <x:c r="C3" s="14" t="n">
        <x:v>10</x:v>
      </x:c>
      <x:c r="D3" s="14" t="n">
        <x:v>0</x:v>
      </x:c>
      <x:c r="E3" s="14" t="n">
        <x:v>0</x:v>
      </x:c>
      <x:c r="F3" s="14" t="n">
        <x:v>5</x:v>
      </x:c>
      <x:c r="G3" s="14" t="n">
        <x:v>2</x:v>
      </x:c>
      <x:c r="H3" s="14" t="n">
        <x:v>7</x:v>
      </x:c>
      <x:c r="I3" s="14" t="str">
        <x:v>1 promoted row remains needs_review; 2 rows deliberately paper-layer only</x:v>
      </x:c>
      <x:c r="J3" s="14" t="str">
        <x:v>Core A layer still shows no new nodes, but B/C theory/adjacent layer continues to grow.</x:v>
      </x:c>
    </x:row>
  </x:sheetData>
  <x:pageMargins left="0.7" right="0.7" top="0.75" bottom="0.75" header="0.3" footer="0.3"/>
</x:worksheet>
</file>

<file path=xl/worksheets/sheet33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8" hidden="0" customWidth="1"/>
    <x:col min="12" max="12" width="28" hidden="0" customWidth="1"/>
    <x:col min="13" max="13" width="28" hidden="0" customWidth="1"/>
    <x:col min="14" max="14" width="28" hidden="0" customWidth="1"/>
    <x:col min="15" max="15" width="28" hidden="0" customWidth="1"/>
    <x:col min="16" max="16" width="28" hidden="0" customWidth="1"/>
    <x:col min="17" max="17" width="28" hidden="0" customWidth="1"/>
    <x:col min="18" max="18" width="28" hidden="0" customWidth="1"/>
    <x:col min="19" max="19" width="28" hidden="0" customWidth="1"/>
    <x:col min="20" max="20" width="28" hidden="0" customWidth="1"/>
    <x:col min="21" max="21" width="28" hidden="0" customWidth="1"/>
    <x:col min="22" max="22" width="28" hidden="0" customWidth="1"/>
    <x:col min="23" max="23" width="28" hidden="0" customWidth="1"/>
    <x:col min="24" max="24" width="28" hidden="0" customWidth="1"/>
    <x:col min="25" max="25" width="28" hidden="0" customWidth="1"/>
    <x:col min="26" max="26" width="28" hidden="0" customWidth="1"/>
    <x:col min="27" max="27" width="28" hidden="0" customWidth="1"/>
    <x:col min="28" max="28" width="28" hidden="0" customWidth="1"/>
    <x:col min="29" max="29" width="28" hidden="0" customWidth="1"/>
    <x:col min="30" max="30" width="28" hidden="0" customWidth="1"/>
    <x:col min="31" max="31" width="28" hidden="0" customWidth="1"/>
    <x:col min="32" max="32" width="28" hidden="0" customWidth="1"/>
    <x:col min="33" max="33" width="28" hidden="0" customWidth="1"/>
    <x:col min="34" max="34" width="28" hidden="0" customWidth="1"/>
  </x:cols>
  <x:sheetData>
    <x:row r="1" ht="30" customHeight="1">
      <x:c r="A1" s="168" t="str">
        <x:v>record_id</x:v>
      </x:c>
      <x:c r="B1" s="168" t="str">
        <x:v>query_id</x:v>
      </x:c>
      <x:c r="C1" s="168" t="str">
        <x:v>search_bucket</x:v>
      </x:c>
      <x:c r="D1" s="168" t="str">
        <x:v>arxiv_id</x:v>
      </x:c>
      <x:c r="E1" s="168" t="str">
        <x:v>arxiv_version</x:v>
      </x:c>
      <x:c r="F1" s="168" t="str">
        <x:v>title</x:v>
      </x:c>
      <x:c r="G1" s="168" t="str">
        <x:v>year</x:v>
      </x:c>
      <x:c r="H1" s="168" t="str">
        <x:v>published_date</x:v>
      </x:c>
      <x:c r="I1" s="168" t="str">
        <x:v>updated_date</x:v>
      </x:c>
      <x:c r="J1" s="168" t="str">
        <x:v>primary_category</x:v>
      </x:c>
      <x:c r="K1" s="168" t="str">
        <x:v>all_categories</x:v>
      </x:c>
      <x:c r="L1" s="168" t="str">
        <x:v>matched_keywords</x:v>
      </x:c>
      <x:c r="M1" s="168" t="str">
        <x:v>include_decision</x:v>
      </x:c>
      <x:c r="N1" s="168" t="str">
        <x:v>decision_reason</x:v>
      </x:c>
      <x:c r="O1" s="168" t="str">
        <x:v>last_author_raw</x:v>
      </x:c>
      <x:c r="P1" s="168" t="str">
        <x:v>last_author_normalized</x:v>
      </x:c>
      <x:c r="Q1" s="168" t="str">
        <x:v>last_author_is_PI_assumption</x:v>
      </x:c>
      <x:c r="R1" s="168" t="str">
        <x:v>last_author_affiliation_raw</x:v>
      </x:c>
      <x:c r="S1" s="168" t="str">
        <x:v>affiliation_source</x:v>
      </x:c>
      <x:c r="T1" s="168" t="str">
        <x:v>institution_normalized</x:v>
      </x:c>
      <x:c r="U1" s="168" t="str">
        <x:v>ror_id</x:v>
      </x:c>
      <x:c r="V1" s="168" t="str">
        <x:v>city</x:v>
      </x:c>
      <x:c r="W1" s="168" t="str">
        <x:v>country</x:v>
      </x:c>
      <x:c r="X1" s="168" t="str">
        <x:v>latitude</x:v>
      </x:c>
      <x:c r="Y1" s="168" t="str">
        <x:v>longitude</x:v>
      </x:c>
      <x:c r="Z1" s="168" t="str">
        <x:v>database_entity_id</x:v>
      </x:c>
      <x:c r="AA1" s="168" t="str">
        <x:v>entity_match_status</x:v>
      </x:c>
      <x:c r="AB1" s="168" t="str">
        <x:v>doi</x:v>
      </x:c>
      <x:c r="AC1" s="168" t="str">
        <x:v>arxiv_abs_url</x:v>
      </x:c>
      <x:c r="AD1" s="168" t="str">
        <x:v>arxiv_pdf_url</x:v>
      </x:c>
      <x:c r="AE1" s="168" t="str">
        <x:v>other_source_url</x:v>
      </x:c>
      <x:c r="AF1" s="168" t="str">
        <x:v>confidence</x:v>
      </x:c>
      <x:c r="AG1" s="168" t="str">
        <x:v>curator_notes</x:v>
      </x:c>
      <x:c r="AH1" s="168" t="str">
        <x:v>needs_manual_check</x:v>
      </x:c>
    </x:row>
    <x:row r="2">
      <x:c r="A2" s="14" t="str">
        <x:v>ARXIV-PI-0095</x:v>
      </x:c>
      <x:c r="B2" s="14" t="str">
        <x:v>Q-068</x:v>
      </x:c>
      <x:c r="C2" s="14" t="str">
        <x:v>v1.8 grid / cavity interface</x:v>
      </x:c>
      <x:c r="D2" s="14" t="str">
        <x:v>2602.12152</x:v>
      </x:c>
      <x:c r="E2" s="14" t="str">
        <x:v>v1</x:v>
      </x:c>
      <x:c r="F2" s="14" t="str">
        <x:v>Realization of a cavity-coupled Rydberg array</x:v>
      </x:c>
      <x:c r="G2" s="14" t="n">
        <x:v>2026</x:v>
      </x:c>
      <x:c r="H2" s="14" t="str">
        <x:v>2026-02</x:v>
      </x:c>
      <x:c r="I2" s="14"/>
      <x:c r="J2" s="14" t="str">
        <x:v>quant-ph</x:v>
      </x:c>
      <x:c r="K2" s="14" t="str">
        <x:v>quant-ph; physics.atom-ph</x:v>
      </x:c>
      <x:c r="L2" s="14" t="str">
        <x:v>cavity-coupled Rydberg array; optical tweezer array; Rydberg states</x:v>
      </x:c>
      <x:c r="M2" s="14" t="str">
        <x:v>include</x:v>
      </x:c>
      <x:c r="N2" s="14" t="str">
        <x:v>Direct experimental combination of optical tweezer arrays, optical cavity coupling and Rydberg excitation.</x:v>
      </x:c>
      <x:c r="O2" s="14" t="str">
        <x:v>Johannes Zeiher</x:v>
      </x:c>
      <x:c r="P2" s="14" t="str">
        <x:v>Johannes Zeiher</x:v>
      </x:c>
      <x:c r="Q2" s="14" t="str">
        <x:v>yes</x:v>
      </x:c>
      <x:c r="R2" s="14" t="str">
        <x:v>MPQ / LMU Munich</x:v>
      </x:c>
      <x:c r="S2" s="14" t="str">
        <x:v>arxiv_abs; existing DB</x:v>
      </x:c>
      <x:c r="T2" s="14" t="str">
        <x:v>Max Planck Institute of Quantum Optics / LMU Munich</x:v>
      </x:c>
      <x:c r="U2" s="14"/>
      <x:c r="V2" s="14" t="str">
        <x:v>Garching / Munich</x:v>
      </x:c>
      <x:c r="W2" s="14" t="str">
        <x:v>Germany</x:v>
      </x:c>
      <x:c r="X2" s="14" t="n">
        <x:v>48.2642</x:v>
      </x:c>
      <x:c r="Y2" s="14" t="n">
        <x:v>11.6715</x:v>
      </x:c>
      <x:c r="Z2" s="14" t="str">
        <x:v>E-006</x:v>
      </x:c>
      <x:c r="AA2" s="14" t="str">
        <x:v>matched_existing</x:v>
      </x:c>
      <x:c r="AB2" s="14"/>
      <x:c r="AC2" s="14" t="str">
        <x:v>https://arxiv.org/abs/2602.12152</x:v>
      </x:c>
      <x:c r="AD2" s="14" t="str">
        <x:v>https://arxiv.org/pdf/2602.12152</x:v>
      </x:c>
      <x:c r="AE2" s="14"/>
      <x:c r="AF2" s="14" t="str">
        <x:v>A/B</x:v>
      </x:c>
      <x:c r="AG2" s="14" t="str">
        <x:v>Matched to existing Zeiher/MPQ interface node; strengthens cavity/network branch.</x:v>
      </x:c>
      <x:c r="AH2" s="53" t="b">
        <x:v>0</x:v>
      </x:c>
    </x:row>
    <x:row r="3">
      <x:c r="A3" s="14" t="str">
        <x:v>ARXIV-PI-0096</x:v>
      </x:c>
      <x:c r="B3" s="14" t="str">
        <x:v>Q-067</x:v>
      </x:c>
      <x:c r="C3" s="14" t="str">
        <x:v>v1.8 grid / QEC multiqubit gates</x:v>
      </x:c>
      <x:c r="D3" s="14" t="str">
        <x:v>2512.00843</x:v>
      </x:c>
      <x:c r="E3" s="14" t="str">
        <x:v>v2</x:v>
      </x:c>
      <x:c r="F3" s="14" t="str">
        <x:v>Multiqubit Rydberg Gates for Quantum Error Correction</x:v>
      </x:c>
      <x:c r="G3" s="14" t="n">
        <x:v>2025</x:v>
      </x:c>
      <x:c r="H3" s="14" t="str">
        <x:v>2025-11-30</x:v>
      </x:c>
      <x:c r="I3" s="14" t="str">
        <x:v>2026-05-04</x:v>
      </x:c>
      <x:c r="J3" s="14" t="str">
        <x:v>quant-ph</x:v>
      </x:c>
      <x:c r="K3" s="14" t="str">
        <x:v>quant-ph</x:v>
      </x:c>
      <x:c r="L3" s="14" t="str">
        <x:v>multiqubit Rydberg gates; QEC; neutral atoms; global pulses</x:v>
      </x:c>
      <x:c r="M3" s="14" t="str">
        <x:v>include</x:v>
      </x:c>
      <x:c r="N3" s="14" t="str">
        <x:v>Rydberg-gate QEC theory/software paper; last author likely senior but affiliation needs external validation.</x:v>
      </x:c>
      <x:c r="O3" s="14" t="str">
        <x:v>Markus Müller</x:v>
      </x:c>
      <x:c r="P3" s="14" t="str">
        <x:v>Markus Müller</x:v>
      </x:c>
      <x:c r="Q3" s="14" t="str">
        <x:v>yes</x:v>
      </x:c>
      <x:c r="R3" s="14" t="str">
        <x:v>affiliation pending</x:v>
      </x:c>
      <x:c r="S3" s="14" t="str">
        <x:v>arxiv_abs only</x:v>
      </x:c>
      <x:c r="T3" s="14" t="str">
        <x:v>institution pending</x:v>
      </x:c>
      <x:c r="U3" s="14"/>
      <x:c r="V3" s="14"/>
      <x:c r="W3" s="14"/>
      <x:c r="X3" s="14"/>
      <x:c r="Y3" s="14"/>
      <x:c r="Z3" s="14"/>
      <x:c r="AA3" s="14" t="str">
        <x:v>new_candidate</x:v>
      </x:c>
      <x:c r="AB3" s="14"/>
      <x:c r="AC3" s="14" t="str">
        <x:v>https://arxiv.org/abs/2512.00843</x:v>
      </x:c>
      <x:c r="AD3" s="14" t="str">
        <x:v>https://arxiv.org/pdf/2512.00843</x:v>
      </x:c>
      <x:c r="AE3" s="14"/>
      <x:c r="AF3" s="14" t="str">
        <x:v>B</x:v>
      </x:c>
      <x:c r="AG3" s="14" t="str">
        <x:v>Candidate theory/QEC node; do not promote until affiliation and relation to Stuttgart/Aachen/Jülich ecosystem is cleaned.</x:v>
      </x:c>
      <x:c r="AH3" s="53" t="b">
        <x:v>1</x:v>
      </x:c>
    </x:row>
    <x:row r="4">
      <x:c r="A4" s="14" t="str">
        <x:v>ARXIV-PI-0097</x:v>
      </x:c>
      <x:c r="B4" s="14" t="str">
        <x:v>Q-065</x:v>
      </x:c>
      <x:c r="C4" s="14" t="str">
        <x:v>v1.8 grid / spin-phonon theory</x:v>
      </x:c>
      <x:c r="D4" s="14" t="str">
        <x:v>2507.16751</x:v>
      </x:c>
      <x:c r="E4" s="14" t="str">
        <x:v>v1</x:v>
      </x:c>
      <x:c r="F4" s="14" t="str">
        <x:v>Many-Body Physics from Spin-Phonon Coupling in Rydberg Atom Arrays</x:v>
      </x:c>
      <x:c r="G4" s="14" t="n">
        <x:v>2025</x:v>
      </x:c>
      <x:c r="H4" s="14" t="str">
        <x:v>2025-07-22</x:v>
      </x:c>
      <x:c r="I4" s="14"/>
      <x:c r="J4" s="14" t="str">
        <x:v>cond-mat.quant-gas</x:v>
      </x:c>
      <x:c r="K4" s="14" t="str">
        <x:v>cond-mat.quant-gas; quant-ph</x:v>
      </x:c>
      <x:c r="L4" s="14" t="str">
        <x:v>Rydberg atom arrays; optical tweezers; spin-phonon coupling</x:v>
      </x:c>
      <x:c r="M4" s="14" t="str">
        <x:v>include</x:v>
      </x:c>
      <x:c r="N4" s="14" t="str">
        <x:v>Direct theory paper on vibrations in optical tweezers and spin-phonon coupling in Rydberg atom arrays.</x:v>
      </x:c>
      <x:c r="O4" s="14" t="str">
        <x:v>Pengfei Zhang</x:v>
      </x:c>
      <x:c r="P4" s="14" t="str">
        <x:v>Pengfei Zhang</x:v>
      </x:c>
      <x:c r="Q4" s="14" t="str">
        <x:v>yes</x:v>
      </x:c>
      <x:c r="R4" s="14" t="str">
        <x:v>Fudan University</x:v>
      </x:c>
      <x:c r="S4" s="14" t="str">
        <x:v>arxiv_abs; existing DB</x:v>
      </x:c>
      <x:c r="T4" s="14" t="str">
        <x:v>Fudan University</x:v>
      </x:c>
      <x:c r="U4" s="14"/>
      <x:c r="V4" s="14" t="str">
        <x:v>Shanghai</x:v>
      </x:c>
      <x:c r="W4" s="14" t="str">
        <x:v>China</x:v>
      </x:c>
      <x:c r="X4" s="14" t="n">
        <x:v>31.2304</x:v>
      </x:c>
      <x:c r="Y4" s="14" t="n">
        <x:v>121.4737</x:v>
      </x:c>
      <x:c r="Z4" s="14" t="str">
        <x:v>E-049</x:v>
      </x:c>
      <x:c r="AA4" s="14" t="str">
        <x:v>matched_existing</x:v>
      </x:c>
      <x:c r="AB4" s="14"/>
      <x:c r="AC4" s="14" t="str">
        <x:v>https://arxiv.org/abs/2507.16751</x:v>
      </x:c>
      <x:c r="AD4" s="14" t="str">
        <x:v>https://arxiv.org/pdf/2507.16751</x:v>
      </x:c>
      <x:c r="AE4" s="14"/>
      <x:c r="AF4" s="14" t="str">
        <x:v>B</x:v>
      </x:c>
      <x:c r="AG4" s="14" t="str">
        <x:v>Duplicate/matched signal for existing Pengfei Zhang node; useful for saturation statistics.</x:v>
      </x:c>
      <x:c r="AH4" s="53" t="b">
        <x:v>0</x:v>
      </x:c>
    </x:row>
    <x:row r="5">
      <x:c r="A5" s="14" t="str">
        <x:v>ARXIV-PI-0098</x:v>
      </x:c>
      <x:c r="B5" s="14" t="str">
        <x:v>Q-069</x:v>
      </x:c>
      <x:c r="C5" s="14" t="str">
        <x:v>v1.8 grid / Hamiltonian learning</x:v>
      </x:c>
      <x:c r="D5" s="14" t="str">
        <x:v>2412.12019</x:v>
      </x:c>
      <x:c r="E5" s="14" t="str">
        <x:v>v2</x:v>
      </x:c>
      <x:c r="F5" s="14" t="str">
        <x:v>Learning interactions between Rydberg atoms</x:v>
      </x:c>
      <x:c r="G5" s="14" t="n">
        <x:v>2024</x:v>
      </x:c>
      <x:c r="H5" s="14" t="str">
        <x:v>2024-12-16</x:v>
      </x:c>
      <x:c r="I5" s="14" t="str">
        <x:v>2025-08-08</x:v>
      </x:c>
      <x:c r="J5" s="14" t="str">
        <x:v>quant-ph</x:v>
      </x:c>
      <x:c r="K5" s="14" t="str">
        <x:v>quant-ph</x:v>
      </x:c>
      <x:c r="L5" s="14" t="str">
        <x:v>Rydberg-atom arrays; optical tweezers; Hamiltonian learning; GNN</x:v>
      </x:c>
      <x:c r="M5" s="14" t="str">
        <x:v>include</x:v>
      </x:c>
      <x:c r="N5" s="14" t="str">
        <x:v>Rydberg-array calibration/learning paper; explicit optical-tweezer position uncertainty; last author is theory senior.</x:v>
      </x:c>
      <x:c r="O5" s="14" t="str">
        <x:v>Antoine Georges</x:v>
      </x:c>
      <x:c r="P5" s="14" t="str">
        <x:v>Antoine Georges</x:v>
      </x:c>
      <x:c r="Q5" s="14" t="str">
        <x:v>yes</x:v>
      </x:c>
      <x:c r="R5" s="14" t="str">
        <x:v>affiliation pending</x:v>
      </x:c>
      <x:c r="S5" s="14" t="str">
        <x:v>arxiv_abs only</x:v>
      </x:c>
      <x:c r="T5" s="14" t="str">
        <x:v>institution pending</x:v>
      </x:c>
      <x:c r="U5" s="14"/>
      <x:c r="V5" s="14"/>
      <x:c r="W5" s="14"/>
      <x:c r="X5" s="14"/>
      <x:c r="Y5" s="14"/>
      <x:c r="Z5" s="14"/>
      <x:c r="AA5" s="14" t="str">
        <x:v>new_candidate</x:v>
      </x:c>
      <x:c r="AB5" s="14"/>
      <x:c r="AC5" s="14" t="str">
        <x:v>https://arxiv.org/abs/2412.12019</x:v>
      </x:c>
      <x:c r="AD5" s="14" t="str">
        <x:v>https://arxiv.org/pdf/2412.12019</x:v>
      </x:c>
      <x:c r="AE5" s="14"/>
      <x:c r="AF5" s="14" t="str">
        <x:v>B</x:v>
      </x:c>
      <x:c r="AG5" s="14" t="str">
        <x:v>Strong theory/calibration candidate; affiliation likely needs PDF/OpenAlex because multi-institution author list.</x:v>
      </x:c>
      <x:c r="AH5" s="53" t="b">
        <x:v>1</x:v>
      </x:c>
    </x:row>
    <x:row r="6">
      <x:c r="A6" s="14" t="str">
        <x:v>ARXIV-PI-0099</x:v>
      </x:c>
      <x:c r="B6" s="14" t="str">
        <x:v>Q-070</x:v>
      </x:c>
      <x:c r="C6" s="14" t="str">
        <x:v>v1.8 grid / hologram reconfiguration</x:v>
      </x:c>
      <x:c r="D6" s="14" t="str">
        <x:v>2604.04600</x:v>
      </x:c>
      <x:c r="E6" s="14" t="str">
        <x:v>v1</x:v>
      </x:c>
      <x:c r="F6" s="14" t="str">
        <x:v>Phase-Stable Hologram Updates for Large-Scale Neutral-Atom Array Reconfiguration</x:v>
      </x:c>
      <x:c r="G6" s="14" t="n">
        <x:v>2026</x:v>
      </x:c>
      <x:c r="H6" s="14" t="str">
        <x:v>2026-04-06</x:v>
      </x:c>
      <x:c r="I6" s="14"/>
      <x:c r="J6" s="14" t="str">
        <x:v>quant-ph</x:v>
      </x:c>
      <x:c r="K6" s="14" t="str">
        <x:v>quant-ph; physics.atom-ph</x:v>
      </x:c>
      <x:c r="L6" s="14" t="str">
        <x:v>Rydberg atom arrays; holographic optical tweezers; reconfiguration</x:v>
      </x:c>
      <x:c r="M6" s="14" t="str">
        <x:v>include</x:v>
      </x:c>
      <x:c r="N6" s="14" t="str">
        <x:v>Technical control paper for assembling/reconfiguring large-scale Rydberg atom arrays with dynamic holographic tweezers.</x:v>
      </x:c>
      <x:c r="O6" s="14" t="str">
        <x:v>Jin-Guo Liu</x:v>
      </x:c>
      <x:c r="P6" s="14" t="str">
        <x:v>Jin-Guo Liu</x:v>
      </x:c>
      <x:c r="Q6" s="14" t="str">
        <x:v>yes</x:v>
      </x:c>
      <x:c r="R6" s="14" t="str">
        <x:v>HKUST(GZ) / Quantum Bay</x:v>
      </x:c>
      <x:c r="S6" s="14" t="str">
        <x:v>arxiv_abs; existing DB</x:v>
      </x:c>
      <x:c r="T6" s="14" t="str">
        <x:v>Hong Kong University of Science and Technology (Guangzhou)</x:v>
      </x:c>
      <x:c r="U6" s="14"/>
      <x:c r="V6" s="14" t="str">
        <x:v>Guangzhou</x:v>
      </x:c>
      <x:c r="W6" s="14" t="str">
        <x:v>China</x:v>
      </x:c>
      <x:c r="X6" s="14" t="n">
        <x:v>23.1291</x:v>
      </x:c>
      <x:c r="Y6" s="14" t="n">
        <x:v>113.2644</x:v>
      </x:c>
      <x:c r="Z6" s="14" t="str">
        <x:v>E-048</x:v>
      </x:c>
      <x:c r="AA6" s="14" t="str">
        <x:v>matched_existing</x:v>
      </x:c>
      <x:c r="AB6" s="14"/>
      <x:c r="AC6" s="14" t="str">
        <x:v>https://arxiv.org/abs/2604.04600</x:v>
      </x:c>
      <x:c r="AD6" s="14" t="str">
        <x:v>https://arxiv.org/pdf/2604.04600</x:v>
      </x:c>
      <x:c r="AE6" s="14"/>
      <x:c r="AF6" s="14" t="str">
        <x:v>B</x:v>
      </x:c>
      <x:c r="AG6" s="14" t="str">
        <x:v>Matched to existing Jin-Guo Liu algorithms/QEC/control node; adds technical reconfiguration evidence.</x:v>
      </x:c>
      <x:c r="AH6" s="53" t="b">
        <x:v>0</x:v>
      </x:c>
    </x:row>
    <x:row r="7">
      <x:c r="A7" s="14" t="str">
        <x:v>ARXIV-PI-0100</x:v>
      </x:c>
      <x:c r="B7" s="14" t="str">
        <x:v>Q-071</x:v>
      </x:c>
      <x:c r="C7" s="14" t="str">
        <x:v>v1.8 grid / neutral atom QEC theory</x:v>
      </x:c>
      <x:c r="D7" s="14" t="str">
        <x:v>2409.04324</x:v>
      </x:c>
      <x:c r="E7" s="14" t="str">
        <x:v>v2</x:v>
      </x:c>
      <x:c r="F7" s="14" t="str">
        <x:v>Geometrical Approach to Logical Qubit Fidelities of Neutral Atom CSS Codes</x:v>
      </x:c>
      <x:c r="G7" s="14" t="n">
        <x:v>2024</x:v>
      </x:c>
      <x:c r="H7" s="14" t="str">
        <x:v>2024-09-06</x:v>
      </x:c>
      <x:c r="I7" s="14" t="str">
        <x:v>2025-01-31</x:v>
      </x:c>
      <x:c r="J7" s="14" t="str">
        <x:v>quant-ph</x:v>
      </x:c>
      <x:c r="K7" s="14" t="str">
        <x:v>quant-ph; cond-mat.stat-mech</x:v>
      </x:c>
      <x:c r="L7" s="14" t="str">
        <x:v>neutral atom CSS codes; finite Rydberg lifetime; leakage; atom loss</x:v>
      </x:c>
      <x:c r="M7" s="14" t="str">
        <x:v>include</x:v>
      </x:c>
      <x:c r="N7" s="14" t="str">
        <x:v>QEC theory paper specific to neutral-atom architectures and Rydberg-state decay/error channels.</x:v>
      </x:c>
      <x:c r="O7" s="14" t="str">
        <x:v>S. J. J. M. F. Kokkelmans</x:v>
      </x:c>
      <x:c r="P7" s="14" t="str">
        <x:v>Servaas Kokkelmans</x:v>
      </x:c>
      <x:c r="Q7" s="14" t="str">
        <x:v>yes</x:v>
      </x:c>
      <x:c r="R7" s="14" t="str">
        <x:v>Eindhoven University of Technology</x:v>
      </x:c>
      <x:c r="S7" s="14" t="str">
        <x:v>arxiv_abs; existing DB</x:v>
      </x:c>
      <x:c r="T7" s="14" t="str">
        <x:v>Eindhoven University of Technology</x:v>
      </x:c>
      <x:c r="U7" s="14"/>
      <x:c r="V7" s="14" t="str">
        <x:v>Eindhoven</x:v>
      </x:c>
      <x:c r="W7" s="14" t="str">
        <x:v>Netherlands</x:v>
      </x:c>
      <x:c r="X7" s="14" t="n">
        <x:v>51.4416</x:v>
      </x:c>
      <x:c r="Y7" s="14" t="n">
        <x:v>5.4697</x:v>
      </x:c>
      <x:c r="Z7" s="14" t="str">
        <x:v>E-010</x:v>
      </x:c>
      <x:c r="AA7" s="14" t="str">
        <x:v>matched_existing</x:v>
      </x:c>
      <x:c r="AB7" s="14"/>
      <x:c r="AC7" s="14" t="str">
        <x:v>https://arxiv.org/abs/2409.04324</x:v>
      </x:c>
      <x:c r="AD7" s="14" t="str">
        <x:v>https://arxiv.org/pdf/2409.04324</x:v>
      </x:c>
      <x:c r="AE7" s="14"/>
      <x:c r="AF7" s="14" t="str">
        <x:v>B</x:v>
      </x:c>
      <x:c r="AG7" s="14" t="str">
        <x:v>Matched to Eindhoven/KAT-1 row; relevant as theory/QEC support.</x:v>
      </x:c>
      <x:c r="AH7" s="53" t="b">
        <x:v>0</x:v>
      </x:c>
    </x:row>
    <x:row r="8">
      <x:c r="A8" s="14" t="str">
        <x:v>ARXIV-PI-0101</x:v>
      </x:c>
      <x:c r="B8" s="14" t="str">
        <x:v>Q-067</x:v>
      </x:c>
      <x:c r="C8" s="14" t="str">
        <x:v>v1.8 grid / loss-biased QEC</x:v>
      </x:c>
      <x:c r="D8" s="14" t="str">
        <x:v>2604.21876</x:v>
      </x:c>
      <x:c r="E8" s="14" t="str">
        <x:v>v1</x:v>
      </x:c>
      <x:c r="F8" s="14" t="str">
        <x:v>Loss-biased fault-tolerant quantum error correction</x:v>
      </x:c>
      <x:c r="G8" s="14" t="n">
        <x:v>2026</x:v>
      </x:c>
      <x:c r="H8" s="14" t="str">
        <x:v>2026-04-23</x:v>
      </x:c>
      <x:c r="I8" s="14"/>
      <x:c r="J8" s="14" t="str">
        <x:v>quant-ph</x:v>
      </x:c>
      <x:c r="K8" s="14" t="str">
        <x:v>quant-ph</x:v>
      </x:c>
      <x:c r="L8" s="14" t="str">
        <x:v>loss-biased QEC; neutral atoms; Rydberg excitation hopping; alkaline-earth</x:v>
      </x:c>
      <x:c r="M8" s="14" t="str">
        <x:v>include</x:v>
      </x:c>
      <x:c r="N8" s="14" t="str">
        <x:v>QEC theory paper on neutral-atom processors and Rydberg excitation hopping/decay; proposes loss-biasing route.</x:v>
      </x:c>
      <x:c r="O8" s="14" t="str">
        <x:v>Guido Pupillo</x:v>
      </x:c>
      <x:c r="P8" s="14" t="str">
        <x:v>Guido Pupillo</x:v>
      </x:c>
      <x:c r="Q8" s="14" t="str">
        <x:v>yes</x:v>
      </x:c>
      <x:c r="R8" s="14" t="str">
        <x:v>Université de Strasbourg / CNRS / CESQ</x:v>
      </x:c>
      <x:c r="S8" s="14" t="str">
        <x:v>arxiv_abs; existing DB</x:v>
      </x:c>
      <x:c r="T8" s="14" t="str">
        <x:v>Université de Strasbourg / CNRS / CESQ</x:v>
      </x:c>
      <x:c r="U8" s="14"/>
      <x:c r="V8" s="14" t="str">
        <x:v>Strasbourg</x:v>
      </x:c>
      <x:c r="W8" s="14" t="str">
        <x:v>France</x:v>
      </x:c>
      <x:c r="X8" s="14" t="n">
        <x:v>48.5839</x:v>
      </x:c>
      <x:c r="Y8" s="14" t="n">
        <x:v>7.7455</x:v>
      </x:c>
      <x:c r="Z8" s="14" t="str">
        <x:v>E-034</x:v>
      </x:c>
      <x:c r="AA8" s="14" t="str">
        <x:v>matched_existing</x:v>
      </x:c>
      <x:c r="AB8" s="14"/>
      <x:c r="AC8" s="14" t="str">
        <x:v>https://arxiv.org/abs/2604.21876</x:v>
      </x:c>
      <x:c r="AD8" s="14" t="str">
        <x:v>https://arxiv.org/pdf/2604.21876</x:v>
      </x:c>
      <x:c r="AE8" s="14"/>
      <x:c r="AF8" s="14" t="str">
        <x:v>B</x:v>
      </x:c>
      <x:c r="AG8" s="14" t="str">
        <x:v>Matched to existing Pupillo/QPerfect-related theory node.</x:v>
      </x:c>
      <x:c r="AH8" s="53" t="b">
        <x:v>0</x:v>
      </x:c>
    </x:row>
    <x:row r="9">
      <x:c r="A9" s="14" t="str">
        <x:v>ARXIV-PI-0102</x:v>
      </x:c>
      <x:c r="B9" s="14" t="str">
        <x:v>Q-073</x:v>
      </x:c>
      <x:c r="C9" s="14" t="str">
        <x:v>v1.8 grid / quantum ML adjacent</x:v>
      </x:c>
      <x:c r="D9" s="14" t="str">
        <x:v>2406.06482</x:v>
      </x:c>
      <x:c r="E9" s="14" t="str">
        <x:v>v1</x:v>
      </x:c>
      <x:c r="F9" s="14" t="str">
        <x:v>Quantum Equilibrium Propagation for efficient training of quantum systems based on Onsager reciprocity</x:v>
      </x:c>
      <x:c r="G9" s="14" t="n">
        <x:v>2024</x:v>
      </x:c>
      <x:c r="H9" s="14" t="str">
        <x:v>2024-06-10</x:v>
      </x:c>
      <x:c r="I9" s="14"/>
      <x:c r="J9" s="14" t="str">
        <x:v>quant-ph</x:v>
      </x:c>
      <x:c r="K9" s="14" t="str">
        <x:v>quant-ph; cond-mat.dis-nn; cs.ET; cs.LG</x:v>
      </x:c>
      <x:c r="L9" s="14" t="str">
        <x:v>neutral atom Rydberg tweezer arrays; quantum ML; equilibrium propagation</x:v>
      </x:c>
      <x:c r="M9" s="14" t="str">
        <x:v>include_as_adjacent</x:v>
      </x:c>
      <x:c r="N9" s="14" t="str">
        <x:v>General quantum ML method; mentions neutral atom Rydberg tweezer arrays as relevant platform but is not platform-specific.</x:v>
      </x:c>
      <x:c r="O9" s="14" t="str">
        <x:v>Florian Marquardt</x:v>
      </x:c>
      <x:c r="P9" s="14" t="str">
        <x:v>Florian Marquardt</x:v>
      </x:c>
      <x:c r="Q9" s="14" t="str">
        <x:v>yes</x:v>
      </x:c>
      <x:c r="R9" s="14" t="str">
        <x:v>affiliation pending</x:v>
      </x:c>
      <x:c r="S9" s="14" t="str">
        <x:v>arxiv_abs only</x:v>
      </x:c>
      <x:c r="T9" s="14" t="str">
        <x:v>institution pending</x:v>
      </x:c>
      <x:c r="U9" s="14"/>
      <x:c r="V9" s="14"/>
      <x:c r="W9" s="14"/>
      <x:c r="X9" s="14"/>
      <x:c r="Y9" s="14"/>
      <x:c r="Z9" s="14"/>
      <x:c r="AA9" s="14" t="str">
        <x:v>new_candidate</x:v>
      </x:c>
      <x:c r="AB9" s="14"/>
      <x:c r="AC9" s="14" t="str">
        <x:v>https://arxiv.org/abs/2406.06482</x:v>
      </x:c>
      <x:c r="AD9" s="14" t="str">
        <x:v>https://arxiv.org/pdf/2406.06482</x:v>
      </x:c>
      <x:c r="AE9" s="14"/>
      <x:c r="AF9" s="14" t="str">
        <x:v>C</x:v>
      </x:c>
      <x:c r="AG9" s="14" t="str">
        <x:v>Adjacent ML/theory candidate; keep in paper layer unless repeated direct Rydberg-array work appears.</x:v>
      </x:c>
      <x:c r="AH9" s="53" t="b">
        <x:v>1</x:v>
      </x:c>
    </x:row>
    <x:row r="10">
      <x:c r="A10" s="14" t="str">
        <x:v>ARXIV-PI-0103</x:v>
      </x:c>
      <x:c r="B10" s="14" t="str">
        <x:v>Q-074</x:v>
      </x:c>
      <x:c r="C10" s="14" t="str">
        <x:v>v1.8 grid / quantum criticality theory</x:v>
      </x:c>
      <x:c r="D10" s="14" t="str">
        <x:v>2512.14149</x:v>
      </x:c>
      <x:c r="E10" s="14" t="str">
        <x:v>v3</x:v>
      </x:c>
      <x:c r="F10" s="14" t="str">
        <x:v>A sine-square deformation approach to quantum critical points in one-dimensional systems</x:v>
      </x:c>
      <x:c r="G10" s="14" t="n">
        <x:v>2025</x:v>
      </x:c>
      <x:c r="H10" s="14" t="str">
        <x:v>2025-12-16</x:v>
      </x:c>
      <x:c r="I10" s="14" t="str">
        <x:v>2026-05-25</x:v>
      </x:c>
      <x:c r="J10" s="14" t="str">
        <x:v>cond-mat.str-el</x:v>
      </x:c>
      <x:c r="K10" s="14" t="str">
        <x:v>cond-mat.str-el; quant-ph</x:v>
      </x:c>
      <x:c r="L10" s="14" t="str">
        <x:v>Rydberg atom arrays; optical tweezers; J1-J2 Ising; critical points</x:v>
      </x:c>
      <x:c r="M10" s="14" t="str">
        <x:v>include_as_candidate</x:v>
      </x:c>
      <x:c r="N10" s="14" t="str">
        <x:v>Theory paper proposes experimental implementation using Rydberg atom arrays in optical tweezers; author/affiliation normalization still incomplete.</x:v>
      </x:c>
      <x:c r="O10" s="14" t="str">
        <x:v>last author pending</x:v>
      </x:c>
      <x:c r="P10" s="14" t="str">
        <x:v>last author pending</x:v>
      </x:c>
      <x:c r="Q10" s="14" t="str">
        <x:v>unclear</x:v>
      </x:c>
      <x:c r="R10" s="14" t="str">
        <x:v>affiliation pending</x:v>
      </x:c>
      <x:c r="S10" s="14" t="str">
        <x:v>arxiv_abs only</x:v>
      </x:c>
      <x:c r="T10" s="14" t="str">
        <x:v>institution pending</x:v>
      </x:c>
      <x:c r="U10" s="14"/>
      <x:c r="V10" s="14"/>
      <x:c r="W10" s="14"/>
      <x:c r="X10" s="14"/>
      <x:c r="Y10" s="14"/>
      <x:c r="Z10" s="14"/>
      <x:c r="AA10" s="14" t="str">
        <x:v>new_candidate</x:v>
      </x:c>
      <x:c r="AB10" s="14"/>
      <x:c r="AC10" s="14" t="str">
        <x:v>https://arxiv.org/abs/2512.14149</x:v>
      </x:c>
      <x:c r="AD10" s="14" t="str">
        <x:v>https://arxiv.org/pdf/2512.14149</x:v>
      </x:c>
      <x:c r="AE10" s="14"/>
      <x:c r="AF10" s="14" t="str">
        <x:v>B/C</x:v>
      </x:c>
      <x:c r="AG10" s="14" t="str">
        <x:v>Add to follow-up queue; need full author list from PDF/arXiv HTML before PI aggregation.</x:v>
      </x:c>
      <x:c r="AH10" s="53" t="b">
        <x:v>1</x:v>
      </x:c>
    </x:row>
    <x:row r="11">
      <x:c r="A11" s="14" t="str">
        <x:v>ARXIV-PI-0104</x:v>
      </x:c>
      <x:c r="B11" s="14" t="str">
        <x:v>Q-072</x:v>
      </x:c>
      <x:c r="C11" s="14" t="str">
        <x:v>v1.8 grid / MBQC Rydberg decay</x:v>
      </x:c>
      <x:c r="D11" s="14" t="str">
        <x:v>2411.04664</x:v>
      </x:c>
      <x:c r="E11" s="14" t="str">
        <x:v>v5</x:v>
      </x:c>
      <x:c r="F11" s="14" t="str">
        <x:v>Taming Rydberg Decay with Measurement-based Quantum Computation</x:v>
      </x:c>
      <x:c r="G11" s="14" t="n">
        <x:v>2024</x:v>
      </x:c>
      <x:c r="H11" s="14" t="str">
        <x:v>2024-11-07</x:v>
      </x:c>
      <x:c r="I11" s="14" t="str">
        <x:v>2026-04-27</x:v>
      </x:c>
      <x:c r="J11" s="14" t="str">
        <x:v>quant-ph</x:v>
      </x:c>
      <x:c r="K11" s="14" t="str">
        <x:v>quant-ph</x:v>
      </x:c>
      <x:c r="L11" s="14" t="str">
        <x:v>Rydberg decay; programmable neutral atom arrays; MBQC; leakage</x:v>
      </x:c>
      <x:c r="M11" s="14" t="str">
        <x:v>include</x:v>
      </x:c>
      <x:c r="N11" s="14" t="str">
        <x:v>QEC/leakage theory paper for programmable neutral atom arrays; last author matches existing USTC/Pan ecosystem.</x:v>
      </x:c>
      <x:c r="O11" s="14" t="str">
        <x:v>Jian-Wei Pan</x:v>
      </x:c>
      <x:c r="P11" s="14" t="str">
        <x:v>Jian-Wei Pan</x:v>
      </x:c>
      <x:c r="Q11" s="14" t="str">
        <x:v>yes</x:v>
      </x:c>
      <x:c r="R11" s="14" t="str">
        <x:v>University of Science and Technology of China</x:v>
      </x:c>
      <x:c r="S11" s="14" t="str">
        <x:v>arxiv_abs; existing DB</x:v>
      </x:c>
      <x:c r="T11" s="14" t="str">
        <x:v>University of Science and Technology of China</x:v>
      </x:c>
      <x:c r="U11" s="14"/>
      <x:c r="V11" s="14" t="str">
        <x:v>Hefei</x:v>
      </x:c>
      <x:c r="W11" s="14" t="str">
        <x:v>China</x:v>
      </x:c>
      <x:c r="X11" s="14" t="n">
        <x:v>31.8206</x:v>
      </x:c>
      <x:c r="Y11" s="14" t="n">
        <x:v>117.2272</x:v>
      </x:c>
      <x:c r="Z11" s="14" t="str">
        <x:v>E-039</x:v>
      </x:c>
      <x:c r="AA11" s="14" t="str">
        <x:v>matched_existing</x:v>
      </x:c>
      <x:c r="AB11" s="14"/>
      <x:c r="AC11" s="14" t="str">
        <x:v>https://arxiv.org/abs/2411.04664</x:v>
      </x:c>
      <x:c r="AD11" s="14" t="str">
        <x:v>https://arxiv.org/pdf/2411.04664</x:v>
      </x:c>
      <x:c r="AE11" s="14"/>
      <x:c r="AF11" s="14" t="str">
        <x:v>B</x:v>
      </x:c>
      <x:c r="AG11" s="14" t="str">
        <x:v>Matched to USTC/Pan row; supports theory/QEC side even if E-039 remains B until core Rydberg-tweezer hardware is clearer.</x:v>
      </x:c>
      <x:c r="AH11" s="53" t="b">
        <x:v>0</x:v>
      </x:c>
    </x:row>
    <x:row r="12">
      <x:c r="A12" s="14" t="str">
        <x:v>ARXIV-PI-0105</x:v>
      </x:c>
      <x:c r="B12" s="14" t="str">
        <x:v>Q-075</x:v>
      </x:c>
      <x:c r="C12" s="14" t="str">
        <x:v>v1.8 review seed / Saffman notes</x:v>
      </x:c>
      <x:c r="D12" s="14" t="str">
        <x:v>2505.11218</x:v>
      </x:c>
      <x:c r="E12" s="14" t="str">
        <x:v>v1</x:v>
      </x:c>
      <x:c r="F12" s="14" t="str">
        <x:v>Quantum computing with atomic qubit arrays: confronting the cost of connectivity</x:v>
      </x:c>
      <x:c r="G12" s="14" t="n">
        <x:v>2025</x:v>
      </x:c>
      <x:c r="H12" s="14" t="str">
        <x:v>2025-05-16</x:v>
      </x:c>
      <x:c r="I12" s="14"/>
      <x:c r="J12" s="14" t="str">
        <x:v>quant-ph</x:v>
      </x:c>
      <x:c r="K12" s="14" t="str">
        <x:v>quant-ph</x:v>
      </x:c>
      <x:c r="L12" s="14" t="str">
        <x:v>review; neutral atom qubit arrays; Rydberg gates; connectivity; QEC</x:v>
      </x:c>
      <x:c r="M12" s="14" t="str">
        <x:v>include_as_review_seed</x:v>
      </x:c>
      <x:c r="N12" s="14" t="str">
        <x:v>Review/perspective notes, not a new group; valuable for mining current references up to Spring 2025.</x:v>
      </x:c>
      <x:c r="O12" s="14" t="str">
        <x:v>M. Saffman</x:v>
      </x:c>
      <x:c r="P12" s="14" t="str">
        <x:v>Mark Saffman</x:v>
      </x:c>
      <x:c r="Q12" s="14" t="str">
        <x:v>yes</x:v>
      </x:c>
      <x:c r="R12" s="14" t="str">
        <x:v>University of Wisconsin-Madison; Infleqtion</x:v>
      </x:c>
      <x:c r="S12" s="14" t="str">
        <x:v>arxiv_html; existing DB</x:v>
      </x:c>
      <x:c r="T12" s="14" t="str">
        <x:v>University of Wisconsin-Madison</x:v>
      </x:c>
      <x:c r="U12" s="14"/>
      <x:c r="V12" s="14" t="str">
        <x:v>Madison</x:v>
      </x:c>
      <x:c r="W12" s="14" t="str">
        <x:v>United States</x:v>
      </x:c>
      <x:c r="X12" s="14" t="n">
        <x:v>43.0731</x:v>
      </x:c>
      <x:c r="Y12" s="14" t="n">
        <x:v>-89.4012</x:v>
      </x:c>
      <x:c r="Z12" s="14" t="str">
        <x:v>E-005</x:v>
      </x:c>
      <x:c r="AA12" s="14" t="str">
        <x:v>matched_existing</x:v>
      </x:c>
      <x:c r="AB12" s="14"/>
      <x:c r="AC12" s="14" t="str">
        <x:v>https://arxiv.org/abs/2505.11218</x:v>
      </x:c>
      <x:c r="AD12" s="14" t="str">
        <x:v>https://arxiv.org/pdf/2505.11218</x:v>
      </x:c>
      <x:c r="AE12" s="14" t="str">
        <x:v>https://arxiv.org/html/2505.11218v1</x:v>
      </x:c>
      <x:c r="AF12" s="14" t="str">
        <x:v>A/B</x:v>
      </x:c>
      <x:c r="AG12" s="14" t="str">
        <x:v>Added also to Review_Seeds as REV-009; use for reference mining rather than map promotion.</x:v>
      </x:c>
      <x:c r="AH12" s="53" t="b">
        <x:v>0</x:v>
      </x:c>
    </x:row>
  </x:sheetData>
  <x:pageMargins left="0.7" right="0.7" top="0.75" bottom="0.75" header="0.3" footer="0.3"/>
</x:worksheet>
</file>

<file path=xl/worksheets/sheet34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</x:cols>
  <x:sheetData>
    <x:row r="1" ht="30" customHeight="1">
      <x:c r="A1" s="168" t="str">
        <x:v>review_id</x:v>
      </x:c>
      <x:c r="B1" s="168" t="str">
        <x:v>review_title</x:v>
      </x:c>
      <x:c r="C1" s="168" t="str">
        <x:v>year</x:v>
      </x:c>
      <x:c r="D1" s="168" t="str">
        <x:v>source_url</x:v>
      </x:c>
      <x:c r="E1" s="168" t="str">
        <x:v>role_in_prospecting</x:v>
      </x:c>
      <x:c r="F1" s="168" t="str">
        <x:v>reference_mining_status</x:v>
      </x:c>
      <x:c r="G1" s="168" t="str">
        <x:v>candidate_groups_expected</x:v>
      </x:c>
      <x:c r="H1" s="168" t="str">
        <x:v>next_action</x:v>
      </x:c>
    </x:row>
    <x:row r="2">
      <x:c r="A2" s="14" t="str">
        <x:v>REV-009</x:v>
      </x:c>
      <x:c r="B2" s="14" t="str">
        <x:v>Quantum computing with atomic qubit arrays: confronting the cost of connectivity</x:v>
      </x:c>
      <x:c r="C2" s="14" t="n">
        <x:v>2025</x:v>
      </x:c>
      <x:c r="D2" s="14" t="str">
        <x:v>https://arxiv.org/abs/2505.11218</x:v>
      </x:c>
      <x:c r="E2" s="14" t="str">
        <x:v>High-value current review/perspective for neutral-atom QC, Rydberg gates, connectivity and QEC.</x:v>
      </x:c>
      <x:c r="F2" s="14" t="str">
        <x:v>identified_not_mined</x:v>
      </x:c>
      <x:c r="G2" s="14" t="str">
        <x:v>High: recent experimental/core + QEC references</x:v>
      </x:c>
      <x:c r="H2" s="14" t="str">
        <x:v>Extract reference list and forward citations in v1.9.</x:v>
      </x:c>
    </x:row>
    <x:row r="3">
      <x:c r="A3" s="14" t="str">
        <x:v>REV-010</x:v>
      </x:c>
      <x:c r="B3" s="14" t="str">
        <x:v>Practical Use Cases of Neutral Atoms Quantum Computers</x:v>
      </x:c>
      <x:c r="C3" s="14" t="n">
        <x:v>2026</x:v>
      </x:c>
      <x:c r="D3" s="14" t="str">
        <x:v>https://arxiv.org/html/2510.18732v2</x:v>
      </x:c>
      <x:c r="E3" s="14" t="str">
        <x:v>Applications/use-case review to find algorithms, companies and platform users.</x:v>
      </x:c>
      <x:c r="F3" s="14" t="str">
        <x:v>identified_not_mined</x:v>
      </x:c>
      <x:c r="G3" s="14" t="str">
        <x:v>Medium: application and software ecosystem</x:v>
      </x:c>
      <x:c r="H3" s="14" t="str">
        <x:v>Mine references by application category; avoid over-promoting non-Rydberg groups.</x:v>
      </x:c>
    </x:row>
    <x:row r="4">
      <x:c r="A4" s="14" t="str">
        <x:v>REV-011</x:v>
      </x:c>
      <x:c r="B4" s="14" t="str">
        <x:v>Quantum Computing with Neutral Atoms</x:v>
      </x:c>
      <x:c r="C4" s="14" t="n">
        <x:v>2025</x:v>
      </x:c>
      <x:c r="D4" s="14" t="str">
        <x:v>https://link.springer.com/chapter/10.1007/978-3-031-90727-2_3</x:v>
      </x:c>
      <x:c r="E4" s="14" t="str">
        <x:v>Broad ecosystem framing, less precise for PI discovery.</x:v>
      </x:c>
      <x:c r="F4" s="14" t="str">
        <x:v>identified_not_mined</x:v>
      </x:c>
      <x:c r="G4" s="14" t="str">
        <x:v>Low-to-medium: industry/program layer</x:v>
      </x:c>
      <x:c r="H4" s="14" t="str">
        <x:v>Use for public-page taxonomy and company/program checks, not as core evidence.</x:v>
      </x:c>
    </x:row>
  </x:sheetData>
  <x:pageMargins left="0.7" right="0.7" top="0.75" bottom="0.75" header="0.3" footer="0.3"/>
</x:worksheet>
</file>

<file path=xl/worksheets/sheet35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8" hidden="0" customWidth="1"/>
    <x:col min="12" max="12" width="28" hidden="0" customWidth="1"/>
    <x:col min="13" max="13" width="28" hidden="0" customWidth="1"/>
    <x:col min="14" max="14" width="28" hidden="0" customWidth="1"/>
    <x:col min="15" max="15" width="28" hidden="0" customWidth="1"/>
  </x:cols>
  <x:sheetData>
    <x:row r="1" ht="30" customHeight="1">
      <x:c r="A1" s="168" t="str">
        <x:v>grid_id</x:v>
      </x:c>
      <x:c r="B1" s="168" t="str">
        <x:v>query_id</x:v>
      </x:c>
      <x:c r="C1" s="168" t="str">
        <x:v>query_text</x:v>
      </x:c>
      <x:c r="D1" s="168" t="str">
        <x:v>source</x:v>
      </x:c>
      <x:c r="E1" s="168" t="str">
        <x:v>time_window</x:v>
      </x:c>
      <x:c r="F1" s="168" t="str">
        <x:v>screened_hits_this_run</x:v>
      </x:c>
      <x:c r="G1" s="168" t="str">
        <x:v>new_paper_rows</x:v>
      </x:c>
      <x:c r="H1" s="168" t="str">
        <x:v>matched_existing_rows</x:v>
      </x:c>
      <x:c r="I1" s="168" t="str">
        <x:v>new_candidate_rows</x:v>
      </x:c>
      <x:c r="J1" s="168" t="str">
        <x:v>excluded_or_boundary</x:v>
      </x:c>
      <x:c r="K1" s="168" t="str">
        <x:v>new_A_nodes</x:v>
      </x:c>
      <x:c r="L1" s="168" t="str">
        <x:v>new_B_candidates</x:v>
      </x:c>
      <x:c r="M1" s="168" t="str">
        <x:v>new_C_candidates</x:v>
      </x:c>
      <x:c r="N1" s="168" t="str">
        <x:v>saturation_signal</x:v>
      </x:c>
      <x:c r="O1" s="168" t="str">
        <x:v>notes</x:v>
      </x:c>
    </x:row>
    <x:row r="2">
      <x:c r="A2" s="14" t="str">
        <x:v>GRID-001</x:v>
      </x:c>
      <x:c r="B2" s="14" t="str">
        <x:v>Q-064</x:v>
      </x:c>
      <x:c r="C2" s="14" t="str">
        <x:v>"Rydberg" "optical tweezers" "neutral atoms" 2026 site:arxiv.org/abs</x:v>
      </x:c>
      <x:c r="D2" s="14" t="str">
        <x:v>web/arXiv index</x:v>
      </x:c>
      <x:c r="E2" s="14" t="str">
        <x:v>2024-2026</x:v>
      </x:c>
      <x:c r="F2" s="14" t="n">
        <x:v>7</x:v>
      </x:c>
      <x:c r="G2" s="14" t="n">
        <x:v>3</x:v>
      </x:c>
      <x:c r="H2" s="14" t="n">
        <x:v>2</x:v>
      </x:c>
      <x:c r="I2" s="14" t="n">
        <x:v>1</x:v>
      </x:c>
      <x:c r="J2" s="14" t="n">
        <x:v>1</x:v>
      </x:c>
      <x:c r="K2" s="14" t="n">
        <x:v>0</x:v>
      </x:c>
      <x:c r="L2" s="14" t="n">
        <x:v>1</x:v>
      </x:c>
      <x:c r="M2" s="14" t="n">
        <x:v>1</x:v>
      </x:c>
      <x:c r="N2" s="14" t="str">
        <x:v>not_saturated</x:v>
      </x:c>
      <x:c r="O2" s="14" t="str">
        <x:v>Broad query still returns relevant rows but no new A-core nodes.</x:v>
      </x:c>
    </x:row>
    <x:row r="3">
      <x:c r="A3" s="14" t="str">
        <x:v>GRID-002</x:v>
      </x:c>
      <x:c r="B3" s="14" t="str">
        <x:v>Q-065</x:v>
      </x:c>
      <x:c r="C3" s="14" t="str">
        <x:v>"Rydberg atom arrays" "optical tweezers" 2025 site:arxiv.org/abs</x:v>
      </x:c>
      <x:c r="D3" s="14" t="str">
        <x:v>web/arXiv index</x:v>
      </x:c>
      <x:c r="E3" s="14" t="str">
        <x:v>2024-2026</x:v>
      </x:c>
      <x:c r="F3" s="14" t="n">
        <x:v>4</x:v>
      </x:c>
      <x:c r="G3" s="14" t="n">
        <x:v>1</x:v>
      </x:c>
      <x:c r="H3" s="14" t="n">
        <x:v>1</x:v>
      </x:c>
      <x:c r="I3" s="14" t="n">
        <x:v>0</x:v>
      </x:c>
      <x:c r="J3" s="14" t="n">
        <x:v>1</x:v>
      </x:c>
      <x:c r="K3" s="14" t="n">
        <x:v>0</x:v>
      </x:c>
      <x:c r="L3" s="14" t="n">
        <x:v>0</x:v>
      </x:c>
      <x:c r="M3" s="14" t="n">
        <x:v>0</x:v>
      </x:c>
      <x:c r="N3" s="14" t="str">
        <x:v>partial_saturation</x:v>
      </x:c>
      <x:c r="O3" s="14" t="str">
        <x:v>Returned Pengfei Zhang duplicate; useful duplicate signal.</x:v>
      </x:c>
    </x:row>
    <x:row r="4">
      <x:c r="A4" s="14" t="str">
        <x:v>GRID-003</x:v>
      </x:c>
      <x:c r="B4" s="14" t="str">
        <x:v>Q-066</x:v>
      </x:c>
      <x:c r="C4" s="14" t="str">
        <x:v>"neutral atom" "Rydberg" "tweezer arrays" 2024 site:arxiv.org/abs</x:v>
      </x:c>
      <x:c r="D4" s="14" t="str">
        <x:v>web/arXiv index</x:v>
      </x:c>
      <x:c r="E4" s="14" t="str">
        <x:v>2024-2026</x:v>
      </x:c>
      <x:c r="F4" s="14" t="n">
        <x:v>5</x:v>
      </x:c>
      <x:c r="G4" s="14" t="n">
        <x:v>2</x:v>
      </x:c>
      <x:c r="H4" s="14" t="n">
        <x:v>1</x:v>
      </x:c>
      <x:c r="I4" s="14" t="n">
        <x:v>1</x:v>
      </x:c>
      <x:c r="J4" s="14" t="n">
        <x:v>1</x:v>
      </x:c>
      <x:c r="K4" s="14" t="n">
        <x:v>0</x:v>
      </x:c>
      <x:c r="L4" s="14" t="n">
        <x:v>1</x:v>
      </x:c>
      <x:c r="M4" s="14" t="n">
        <x:v>0</x:v>
      </x:c>
      <x:c r="N4" s="14" t="str">
        <x:v>not_saturated</x:v>
      </x:c>
      <x:c r="O4" s="14" t="str">
        <x:v>Returned Hamiltonian-learning candidate and USTC/Pan matched QEC row.</x:v>
      </x:c>
    </x:row>
    <x:row r="5">
      <x:c r="A5" s="14" t="str">
        <x:v>GRID-004</x:v>
      </x:c>
      <x:c r="B5" s="14" t="str">
        <x:v>Q-067</x:v>
      </x:c>
      <x:c r="C5" s="14" t="str">
        <x:v>"Rydberg arrays" "quantum error correction" "neutral atoms" 2026 site:arxiv.org/abs</x:v>
      </x:c>
      <x:c r="D5" s="14" t="str">
        <x:v>web/arXiv index</x:v>
      </x:c>
      <x:c r="E5" s="14" t="str">
        <x:v>2024-2026</x:v>
      </x:c>
      <x:c r="F5" s="14" t="n">
        <x:v>5</x:v>
      </x:c>
      <x:c r="G5" s="14" t="n">
        <x:v>2</x:v>
      </x:c>
      <x:c r="H5" s="14" t="n">
        <x:v>1</x:v>
      </x:c>
      <x:c r="I5" s="14" t="n">
        <x:v>1</x:v>
      </x:c>
      <x:c r="J5" s="14" t="n">
        <x:v>1</x:v>
      </x:c>
      <x:c r="K5" s="14" t="n">
        <x:v>0</x:v>
      </x:c>
      <x:c r="L5" s="14" t="n">
        <x:v>1</x:v>
      </x:c>
      <x:c r="M5" s="14" t="n">
        <x:v>0</x:v>
      </x:c>
      <x:c r="N5" s="14" t="str">
        <x:v>not_saturated</x:v>
      </x:c>
      <x:c r="O5" s="14" t="str">
        <x:v>QEC/control still yields B candidates but no A-core groups.</x:v>
      </x:c>
    </x:row>
    <x:row r="6">
      <x:c r="A6" s="14" t="str">
        <x:v>GRID-005</x:v>
      </x:c>
      <x:c r="B6" s="14" t="str">
        <x:v>Q-075</x:v>
      </x:c>
      <x:c r="C6" s="14" t="str">
        <x:v>"neutral atom quantum computing" review Rydberg optical tweezers 2025 2026</x:v>
      </x:c>
      <x:c r="D6" s="14" t="str">
        <x:v>web/review index</x:v>
      </x:c>
      <x:c r="E6" s="14" t="str">
        <x:v>2025-2026</x:v>
      </x:c>
      <x:c r="F6" s="14" t="n">
        <x:v>3</x:v>
      </x:c>
      <x:c r="G6" s="14" t="n">
        <x:v>0</x:v>
      </x:c>
      <x:c r="H6" s="14" t="n">
        <x:v>0</x:v>
      </x:c>
      <x:c r="I6" s="14" t="n">
        <x:v>0</x:v>
      </x:c>
      <x:c r="J6" s="14" t="n">
        <x:v>0</x:v>
      </x:c>
      <x:c r="K6" s="14" t="n">
        <x:v>0</x:v>
      </x:c>
      <x:c r="L6" s="14" t="n">
        <x:v>0</x:v>
      </x:c>
      <x:c r="M6" s="14" t="n">
        <x:v>0</x:v>
      </x:c>
      <x:c r="N6" s="14" t="str">
        <x:v>review_mining_pending</x:v>
      </x:c>
      <x:c r="O6" s="14" t="str">
        <x:v>Three review seeds added; reference mining not yet run.</x:v>
      </x:c>
    </x:row>
  </x:sheetData>
  <x:pageMargins left="0.7" right="0.7" top="0.75" bottom="0.75" header="0.3" footer="0.3"/>
</x:worksheet>
</file>

<file path=xl/worksheets/sheet36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</x:cols>
  <x:sheetData>
    <x:row r="1" ht="30" customHeight="1">
      <x:c r="A1" s="173" t="str">
        <x:v>metric</x:v>
      </x:c>
      <x:c r="B1" s="173" t="str">
        <x:v>v1.7 status</x:v>
      </x:c>
      <x:c r="C1" s="173" t="str">
        <x:v>v1.8 observation</x:v>
      </x:c>
      <x:c r="D1" s="173" t="str">
        <x:v>interpretation</x:v>
      </x:c>
      <x:c r="E1" s="173" t="str">
        <x:v>stop / continue rule</x:v>
      </x:c>
    </x:row>
    <x:row r="2">
      <x:c r="A2" s="14" t="str">
        <x:v>New A-core discovery</x:v>
      </x:c>
      <x:c r="B2" s="14" t="str">
        <x:v>0 new A-core nodes in v1.7</x:v>
      </x:c>
      <x:c r="C2" s="14" t="str">
        <x:v>0 new A-core nodes in grid pilot</x:v>
      </x:c>
      <x:c r="D2" s="14" t="str">
        <x:v>Core experimental/company layer may be approaching saturation, but batch size is still too small.</x:v>
      </x:c>
      <x:c r="E2" s="14" t="str">
        <x:v>Continue until 3 large batches &gt;=50 screened each with 0 A nodes.</x:v>
      </x:c>
    </x:row>
    <x:row r="3">
      <x:c r="A3" s="14" t="str">
        <x:v>B/C candidate yield</x:v>
      </x:c>
      <x:c r="B3" s="14" t="str">
        <x:v>v1.7 still produced B/C promotions after cleanup</x:v>
      </x:c>
      <x:c r="C3" s="14" t="str">
        <x:v>v1.8 produced 3 B candidates + 2 C/B-C candidates from 21 screened hits</x:v>
      </x:c>
      <x:c r="D3" s="14" t="str">
        <x:v>Theory/control/application layer is not exhausted.</x:v>
      </x:c>
      <x:c r="E3" s="14" t="str">
        <x:v>Continue targeted theory/QEC/control mining.</x:v>
      </x:c>
    </x:row>
    <x:row r="4">
      <x:c r="A4" s="14" t="str">
        <x:v>Duplicate signal</x:v>
      </x:c>
      <x:c r="B4" s="14" t="str">
        <x:v>v1.7 matched Lin Li and promoted mostly B/C</x:v>
      </x:c>
      <x:c r="C4" s="14" t="str">
        <x:v>7 duplicates or existing matches in v1.8</x:v>
      </x:c>
      <x:c r="D4" s="14" t="str">
        <x:v>Duplicate rate is rising, good sign for core saturation.</x:v>
      </x:c>
      <x:c r="E4" s="14" t="str">
        <x:v>Track duplicate rate across standardized query grid.</x:v>
      </x:c>
    </x:row>
    <x:row r="5">
      <x:c r="A5" s="14" t="str">
        <x:v>Affiliation debt</x:v>
      </x:c>
      <x:c r="B5" s="14" t="str">
        <x:v>One promoted row still needs review</x:v>
      </x:c>
      <x:c r="C5" s="14" t="str">
        <x:v>3 new candidate rows have pending affiliation/last author</x:v>
      </x:c>
      <x:c r="D5" s="14" t="str">
        <x:v>Affiliation normalization remains a bottleneck.</x:v>
      </x:c>
      <x:c r="E5" s="14" t="str">
        <x:v>Before next Database promotion, clean Markus Müller, Antoine Georges, Florian Marquardt and SSD paper.</x:v>
      </x:c>
    </x:row>
    <x:row r="6">
      <x:c r="A6" s="14" t="str">
        <x:v>Review mining</x:v>
      </x:c>
      <x:c r="B6" s="14" t="str">
        <x:v>Not started</x:v>
      </x:c>
      <x:c r="C6" s="14" t="str">
        <x:v>3 new review seeds identified</x:v>
      </x:c>
      <x:c r="D6" s="14" t="str">
        <x:v>Cannot claim exhaustion before references/citations of reviews are mined.</x:v>
      </x:c>
      <x:c r="E6" s="14" t="str">
        <x:v>Run REV-009 reference extraction before more manual arXiv browsing.</x:v>
      </x:c>
    </x:row>
    <x:row r="7">
      <x:c r="A7" s="14" t="str">
        <x:v>API reproducibility</x:v>
      </x:c>
      <x:c r="B7" s="14" t="str">
        <x:v>Manual searches only</x:v>
      </x:c>
      <x:c r="C7" s="14" t="str">
        <x:v>Grid IDs created but counts are still web-index estimates</x:v>
      </x:c>
      <x:c r="D7" s="14" t="str">
        <x:v>We now have query structure, but not exact arXiv/OpenAlex/S2 counts.</x:v>
      </x:c>
      <x:c r="E7" s="14" t="str">
        <x:v>v1.9 should be API-backed or at least count-backed.</x:v>
      </x:c>
    </x:row>
  </x:sheetData>
  <x:pageMargins left="0.7" right="0.7" top="0.75" bottom="0.75" header="0.3" footer="0.3"/>
</x:worksheet>
</file>

<file path=xl/worksheets/sheet37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</x:cols>
  <x:sheetData>
    <x:row r="1" ht="30" customHeight="1">
      <x:c r="A1" s="178" t="str">
        <x:v>item</x:v>
      </x:c>
      <x:c r="B1" s="178" t="str">
        <x:v>decision</x:v>
      </x:c>
      <x:c r="C1" s="178" t="str">
        <x:v>reason</x:v>
      </x:c>
      <x:c r="D1" s="178" t="str">
        <x:v>next_action</x:v>
      </x:c>
    </x:row>
    <x:row r="2">
      <x:c r="A2" s="14" t="str">
        <x:v>Database promotions</x:v>
      </x:c>
      <x:c r="B2" s="14" t="str">
        <x:v>0</x:v>
      </x:c>
      <x:c r="C2" s="14" t="str">
        <x:v>v1.8 is a grid/paper-layer and review-seed run; new candidates need affiliation cleanup before map promotion.</x:v>
      </x:c>
      <x:c r="D2" s="14" t="str">
        <x:v>No map CSV/GeoJSON regenerated because Database unchanged.</x:v>
      </x:c>
    </x:row>
    <x:row r="3">
      <x:c r="A3" s="14" t="str">
        <x:v>A-core saturation</x:v>
      </x:c>
      <x:c r="B3" s="14" t="str">
        <x:v>not declared</x:v>
      </x:c>
      <x:c r="C3" s="14" t="str">
        <x:v>Two consecutive passes show zero new A-core nodes, but batch size is too small and not API-backed.</x:v>
      </x:c>
      <x:c r="D3" s="14" t="str">
        <x:v>Require three &gt;=50-hit batches with 0 A-core nodes.</x:v>
      </x:c>
    </x:row>
    <x:row r="4">
      <x:c r="A4" s="14" t="str">
        <x:v>Theory/control saturation</x:v>
      </x:c>
      <x:c r="B4" s="14" t="str">
        <x:v>not saturated</x:v>
      </x:c>
      <x:c r="C4" s="14" t="str">
        <x:v>New B candidates still appear in QEC, Hamiltonian learning and ML/control branches.</x:v>
      </x:c>
      <x:c r="D4" s="14" t="str">
        <x:v>Clean candidates and run wider theory grid.</x:v>
      </x:c>
    </x:row>
    <x:row r="5">
      <x:c r="A5" s="14" t="str">
        <x:v>Review mining</x:v>
      </x:c>
      <x:c r="B5" s="14" t="str">
        <x:v>now mandatory</x:v>
      </x:c>
      <x:c r="C5" s="14" t="str">
        <x:v>REV-009 is likely a high-yield reference source for recent neutral-atom QC and Rydberg gate/QEC work.</x:v>
      </x:c>
      <x:c r="D5" s="14" t="str">
        <x:v>Mine REV-009 references next.</x:v>
      </x:c>
    </x:row>
    <x:row r="6">
      <x:c r="A6" s="14" t="str">
        <x:v>Next version</x:v>
      </x:c>
      <x:c r="B6" s="14" t="str">
        <x:v>v1.9</x:v>
      </x:c>
      <x:c r="C6" s="14" t="str">
        <x:v>Should be review-citation extraction or exact-count query grid, not another ad-hoc paper batch.</x:v>
      </x:c>
      <x:c r="D6" s="14" t="str">
        <x:v>Process references/citations and affiliation debt.</x:v>
      </x:c>
    </x:row>
  </x:sheetData>
  <x:pageMargins left="0.7" right="0.7" top="0.75" bottom="0.75" header="0.3" footer="0.3"/>
</x:worksheet>
</file>

<file path=xl/worksheets/sheet38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0" hidden="0" customWidth="1"/>
    <x:col min="3" max="3" width="24" hidden="0" customWidth="1"/>
    <x:col min="4" max="4" width="44" hidden="0" customWidth="1"/>
    <x:col min="5" max="5" width="8" hidden="0" customWidth="1"/>
    <x:col min="6" max="6" width="18" hidden="0" customWidth="1"/>
    <x:col min="7" max="7" width="34" hidden="0" customWidth="1"/>
    <x:col min="8" max="8" width="28" hidden="0" customWidth="1"/>
    <x:col min="9" max="9" width="20" hidden="0" customWidth="1"/>
    <x:col min="10" max="10" width="44" hidden="0" customWidth="1"/>
    <x:col min="11" max="11" width="14" hidden="0" customWidth="1"/>
    <x:col min="12" max="12" width="48" hidden="0" customWidth="1"/>
    <x:col min="13" max="13" width="60" hidden="0" customWidth="1"/>
  </x:cols>
  <x:sheetData>
    <x:row r="1">
      <x:c r="A1" s="185" t="str">
        <x:v>ref_id</x:v>
      </x:c>
      <x:c r="B1" s="185" t="str">
        <x:v>review_id</x:v>
      </x:c>
      <x:c r="C1" s="185" t="str">
        <x:v>authors_or_key</x:v>
      </x:c>
      <x:c r="D1" s="185" t="str">
        <x:v>title</x:v>
      </x:c>
      <x:c r="E1" s="185" t="str">
        <x:v>year</x:v>
      </x:c>
      <x:c r="F1" s="185" t="str">
        <x:v>category</x:v>
      </x:c>
      <x:c r="G1" s="185" t="str">
        <x:v>tags</x:v>
      </x:c>
      <x:c r="H1" s="185" t="str">
        <x:v>likely_node</x:v>
      </x:c>
      <x:c r="I1" s="185" t="str">
        <x:v>coverage_status</x:v>
      </x:c>
      <x:c r="J1" s="185" t="str">
        <x:v>action</x:v>
      </x:c>
      <x:c r="K1" s="185" t="str">
        <x:v>priority</x:v>
      </x:c>
      <x:c r="L1" s="185" t="str">
        <x:v>source_url</x:v>
      </x:c>
      <x:c r="M1" s="185" t="str">
        <x:v>notes</x:v>
      </x:c>
    </x:row>
    <x:row r="2">
      <x:c r="A2" s="14" t="str">
        <x:v>REF-v1.9-001</x:v>
      </x:c>
      <x:c r="B2" s="14" t="str">
        <x:v>REV-009</x:v>
      </x:c>
      <x:c r="C2" s="14" t="str">
        <x:v>Radnaev et al.</x:v>
      </x:c>
      <x:c r="D2" s="14" t="str">
        <x:v>A universal neutral-atom quantum computer with individual optical addressing</x:v>
      </x:c>
      <x:c r="E2" s="14" t="n">
        <x:v>2024</x:v>
      </x:c>
      <x:c r="F2" s="14" t="str">
        <x:v>experiment/platform</x:v>
      </x:c>
      <x:c r="G2" s="14" t="str">
        <x:v>individual addressing; Rydberg gates; optical tweezers</x:v>
      </x:c>
      <x:c r="H2" s="14" t="str">
        <x:v>Infleqtion / Wisconsin ecosystem</x:v>
      </x:c>
      <x:c r="I2" s="14" t="str">
        <x:v>already_or_likely_covered</x:v>
      </x:c>
      <x:c r="J2" s="14" t="str">
        <x:v>check DB duplicates; keep as evidence for company/platform layer</x:v>
      </x:c>
      <x:c r="K2" s="14" t="str">
        <x:v>A/B evidence</x:v>
      </x:c>
      <x:c r="L2" s="14" t="str">
        <x:v>https://arxiv.org/abs/2408.08288</x:v>
      </x:c>
      <x:c r="M2" s="14" t="str">
        <x:v>Saffman review cites Radnaev as current state of individual addressed gates; useful for company/hardware layer.</x:v>
      </x:c>
    </x:row>
    <x:row r="3">
      <x:c r="A3" s="14" t="str">
        <x:v>REF-v1.9-002</x:v>
      </x:c>
      <x:c r="B3" s="14" t="str">
        <x:v>REV-009</x:v>
      </x:c>
      <x:c r="C3" s="14" t="str">
        <x:v>Rodriguez et al.</x:v>
      </x:c>
      <x:c r="D3" s="14" t="str">
        <x:v>Experimental demonstration of logical magic state distillation</x:v>
      </x:c>
      <x:c r="E3" s="14" t="n">
        <x:v>2024</x:v>
      </x:c>
      <x:c r="F3" s="14" t="str">
        <x:v>experiment/QEC</x:v>
      </x:c>
      <x:c r="G3" s="14" t="str">
        <x:v>logical qubits; magic state distillation; reconfigurable atom arrays</x:v>
      </x:c>
      <x:c r="H3" s="14" t="str">
        <x:v>Harvard-Lukin / QuEra ecosystem</x:v>
      </x:c>
      <x:c r="I3" s="14" t="str">
        <x:v>already_covered</x:v>
      </x:c>
      <x:c r="J3" s="14" t="str">
        <x:v>use as QEC core evidence; no new node unless duplicate missing</x:v>
      </x:c>
      <x:c r="K3" s="14" t="str">
        <x:v>A evidence</x:v>
      </x:c>
      <x:c r="L3" s="14" t="str">
        <x:v>https://arxiv.org/abs/2412.15165</x:v>
      </x:c>
      <x:c r="M3" s="14" t="str">
        <x:v>Recent high-value QEC demonstration on neutral-atom computer; likely already represented by Harvard/QuEra nodes.</x:v>
      </x:c>
    </x:row>
    <x:row r="4">
      <x:c r="A4" s="14" t="str">
        <x:v>REF-v1.9-003</x:v>
      </x:c>
      <x:c r="B4" s="14" t="str">
        <x:v>REV-009</x:v>
      </x:c>
      <x:c r="C4" s="14" t="str">
        <x:v>Poole et al.</x:v>
      </x:c>
      <x:c r="D4" s="14" t="str">
        <x:v>Architecture for fast implementation of qLDPC codes with optimized Rydberg gates</x:v>
      </x:c>
      <x:c r="E4" s="14" t="n">
        <x:v>2024</x:v>
      </x:c>
      <x:c r="F4" s="14" t="str">
        <x:v>theory/architecture</x:v>
      </x:c>
      <x:c r="G4" s="14" t="str">
        <x:v>qLDPC; optimized Rydberg gates; long-range connectivity</x:v>
      </x:c>
      <x:c r="H4" s="14" t="str">
        <x:v>Saffman / Wisconsin; Perlin/Otten</x:v>
      </x:c>
      <x:c r="I4" s="14" t="str">
        <x:v>covered_or_candidate</x:v>
      </x:c>
      <x:c r="J4" s="14" t="str">
        <x:v>verify whether Perlin/Otten need separate theory/software nodes</x:v>
      </x:c>
      <x:c r="K4" s="14" t="str">
        <x:v>B candidate</x:v>
      </x:c>
      <x:c r="L4" s="14" t="str">
        <x:v>https://arxiv.org/abs/2404.18809</x:v>
      </x:c>
      <x:c r="M4" s="14" t="str">
        <x:v>Important architecture paper; cited in Saffman review as qLDPC route with Rydberg gates.</x:v>
      </x:c>
    </x:row>
    <x:row r="5">
      <x:c r="A5" s="14" t="str">
        <x:v>REF-v1.9-004</x:v>
      </x:c>
      <x:c r="B5" s="14" t="str">
        <x:v>REV-009</x:v>
      </x:c>
      <x:c r="C5" s="14" t="str">
        <x:v>Pecorari et al.</x:v>
      </x:c>
      <x:c r="D5" s="14" t="str">
        <x:v>High-rate quantum LDPC codes for long-range-connected atom arrays</x:v>
      </x:c>
      <x:c r="E5" s="14" t="n">
        <x:v>2025</x:v>
      </x:c>
      <x:c r="F5" s="14" t="str">
        <x:v>theory/QEC</x:v>
      </x:c>
      <x:c r="G5" s="14" t="str">
        <x:v>long-range connectivity; qLDPC; neutral atoms</x:v>
      </x:c>
      <x:c r="H5" s="14" t="str">
        <x:v>Pecorari / Brown-style QEC ecosystem</x:v>
      </x:c>
      <x:c r="I5" s="14" t="str">
        <x:v>candidate</x:v>
      </x:c>
      <x:c r="J5" s="14" t="str">
        <x:v>extract last author/institution; likely B theory/QEC node</x:v>
      </x:c>
      <x:c r="K5" s="14" t="str">
        <x:v>B candidate</x:v>
      </x:c>
      <x:c r="L5" s="14" t="str">
        <x:v>https://www.nature.com/articles/s41467-025-56255-5</x:v>
      </x:c>
      <x:c r="M5" s="14" t="str">
        <x:v>QEC theory item repeatedly connected to neutral-atom long-range connectivity.</x:v>
      </x:c>
    </x:row>
    <x:row r="6">
      <x:c r="A6" s="14" t="str">
        <x:v>REF-v1.9-005</x:v>
      </x:c>
      <x:c r="B6" s="14" t="str">
        <x:v>REV-009</x:v>
      </x:c>
      <x:c r="C6" s="14" t="str">
        <x:v>Tsai et al.</x:v>
      </x:c>
      <x:c r="D6" s="14" t="str">
        <x:v>Benchmarking and fidelity response theory of high-fidelity Rydberg entangling gates</x:v>
      </x:c>
      <x:c r="E6" s="14" t="n">
        <x:v>2025</x:v>
      </x:c>
      <x:c r="F6" s="14" t="str">
        <x:v>experiment/theory</x:v>
      </x:c>
      <x:c r="G6" s="14" t="str">
        <x:v>gate fidelity; error model; benchmarking</x:v>
      </x:c>
      <x:c r="H6" s="14" t="str">
        <x:v>Endres / Caltech</x:v>
      </x:c>
      <x:c r="I6" s="14" t="str">
        <x:v>already_covered</x:v>
      </x:c>
      <x:c r="J6" s="14" t="str">
        <x:v>use as evidence; no new node if Endres already in DB</x:v>
      </x:c>
      <x:c r="K6" s="14" t="str">
        <x:v>A evidence</x:v>
      </x:c>
      <x:c r="L6" s="14" t="str">
        <x:v>https://doi.org/10.1103/PRXQuantum.6.010331</x:v>
      </x:c>
      <x:c r="M6" s="14" t="str">
        <x:v>Directly relevant to Rydberg gate fidelity/error budget; likely already in user context and DB.</x:v>
      </x:c>
    </x:row>
    <x:row r="7">
      <x:c r="A7" s="14" t="str">
        <x:v>REF-v1.9-006</x:v>
      </x:c>
      <x:c r="B7" s="14" t="str">
        <x:v>REV-009</x:v>
      </x:c>
      <x:c r="C7" s="14" t="str">
        <x:v>Peper et al.</x:v>
      </x:c>
      <x:c r="D7" s="14" t="str">
        <x:v>Spectroscopy and modeling of Rydberg states for high-fidelity two-qubit gates</x:v>
      </x:c>
      <x:c r="E7" s="14" t="n">
        <x:v>2025</x:v>
      </x:c>
      <x:c r="F7" s="14" t="str">
        <x:v>experiment/modeling</x:v>
      </x:c>
      <x:c r="G7" s="14" t="str">
        <x:v>Rydberg spectroscopy; high-fidelity gates; Yb/Sr-style modeling</x:v>
      </x:c>
      <x:c r="H7" s="14" t="str">
        <x:v>Thompson / Princeton</x:v>
      </x:c>
      <x:c r="I7" s="14" t="str">
        <x:v>already_covered</x:v>
      </x:c>
      <x:c r="J7" s="14" t="str">
        <x:v>use as evidence for Thompson node</x:v>
      </x:c>
      <x:c r="K7" s="14" t="str">
        <x:v>A evidence</x:v>
      </x:c>
      <x:c r="L7" s="14" t="str">
        <x:v>https://doi.org/10.1103/PhysRevX.15.011009</x:v>
      </x:c>
      <x:c r="M7" s="14" t="str">
        <x:v>Useful for alkaline-earth tweezer/Rydberg gate modeling and group metadata.</x:v>
      </x:c>
    </x:row>
    <x:row r="8">
      <x:c r="A8" s="14" t="str">
        <x:v>REF-v1.9-007</x:v>
      </x:c>
      <x:c r="B8" s="14" t="str">
        <x:v>REV-009</x:v>
      </x:c>
      <x:c r="C8" s="14" t="str">
        <x:v>Chow et al.</x:v>
      </x:c>
      <x:c r="D8" s="14" t="str">
        <x:v>Circuit-based leakage-to-erasure conversion in a neutral-atom quantum processor</x:v>
      </x:c>
      <x:c r="E8" s="14" t="n">
        <x:v>2024</x:v>
      </x:c>
      <x:c r="F8" s="14" t="str">
        <x:v>experiment/QEC</x:v>
      </x:c>
      <x:c r="G8" s="14" t="str">
        <x:v>leakage-to-erasure; neutral atoms; processor-level control</x:v>
      </x:c>
      <x:c r="H8" s="14" t="str">
        <x:v>Sandia / Deutsch / Jau ecosystem</x:v>
      </x:c>
      <x:c r="I8" s="14" t="str">
        <x:v>partially_covered</x:v>
      </x:c>
      <x:c r="J8" s="14" t="str">
        <x:v>verify if a separate Sandia/Jau row is sufficient; no promotion yet</x:v>
      </x:c>
      <x:c r="K8" s="14" t="str">
        <x:v>B candidate</x:v>
      </x:c>
      <x:c r="L8" s="14" t="str">
        <x:v>https://doi.org/10.1103/PRXQuantum.5.040343</x:v>
      </x:c>
      <x:c r="M8" s="14" t="str">
        <x:v>Good bridge to national-lab neutral atom processor work and erasure conversion.</x:v>
      </x:c>
    </x:row>
    <x:row r="9">
      <x:c r="A9" s="14" t="str">
        <x:v>REF-v1.9-008</x:v>
      </x:c>
      <x:c r="B9" s="14" t="str">
        <x:v>REV-009</x:v>
      </x:c>
      <x:c r="C9" s="14" t="str">
        <x:v>Manetsch et al.</x:v>
      </x:c>
      <x:c r="D9" s="14" t="str">
        <x:v>A tweezer array with 6100 highly coherent atomic qubits</x:v>
      </x:c>
      <x:c r="E9" s="14" t="n">
        <x:v>2025</x:v>
      </x:c>
      <x:c r="F9" s="14" t="str">
        <x:v>experiment/scaling</x:v>
      </x:c>
      <x:c r="G9" s="14" t="str">
        <x:v>large arrays; optical tweezers; scaling</x:v>
      </x:c>
      <x:c r="H9" s="14" t="str">
        <x:v>Endres / Caltech</x:v>
      </x:c>
      <x:c r="I9" s="14" t="str">
        <x:v>already_covered</x:v>
      </x:c>
      <x:c r="J9" s="14" t="str">
        <x:v>use as scaling evidence for Caltech/Endres; no new node</x:v>
      </x:c>
      <x:c r="K9" s="14" t="str">
        <x:v>A evidence</x:v>
      </x:c>
      <x:c r="L9" s="14" t="str">
        <x:v>https://www.nature.com/articles/s41586-025-09641-4</x:v>
      </x:c>
      <x:c r="M9" s="14" t="str">
        <x:v>Saffman review uses it as state-of-the-art qubit count/scaling evidence.</x:v>
      </x:c>
    </x:row>
    <x:row r="10">
      <x:c r="A10" s="14" t="str">
        <x:v>REF-v1.9-009</x:v>
      </x:c>
      <x:c r="B10" s="14" t="str">
        <x:v>REV-009</x:v>
      </x:c>
      <x:c r="C10" s="14" t="str">
        <x:v>R. Lin et al.</x:v>
      </x:c>
      <x:c r="D10" s="14" t="str">
        <x:v>Large deterministic rearrangement / 2000-atom array work</x:v>
      </x:c>
      <x:c r="E10" s="14" t="n">
        <x:v>2025</x:v>
      </x:c>
      <x:c r="F10" s="14" t="str">
        <x:v>experiment/scaling</x:v>
      </x:c>
      <x:c r="G10" s="14" t="str">
        <x:v>large tweezer arrays; deterministic rearrangement</x:v>
      </x:c>
      <x:c r="H10" s="14" t="str">
        <x:v>needs affiliation cleanup</x:v>
      </x:c>
      <x:c r="I10" s="14" t="str">
        <x:v>candidate</x:v>
      </x:c>
      <x:c r="J10" s="14" t="str">
        <x:v>resolve exact title/authors/affiliation before DB action</x:v>
      </x:c>
      <x:c r="K10" s="14" t="str">
        <x:v>B/C candidate</x:v>
      </x:c>
      <x:c r="L10" s="14" t="str">
        <x:v>https://arxiv.org/html/2505.11218v3</x:v>
      </x:c>
      <x:c r="M10" s="14" t="str">
        <x:v>Appears in Saffman review scaling discussion; not enough metadata yet for promotion.</x:v>
      </x:c>
    </x:row>
    <x:row r="11">
      <x:c r="A11" s="14" t="str">
        <x:v>REF-v1.9-010</x:v>
      </x:c>
      <x:c r="B11" s="14" t="str">
        <x:v>REV-009</x:v>
      </x:c>
      <x:c r="C11" s="14" t="str">
        <x:v>Delakouras, Doultsinos &amp; Petrosyan</x:v>
      </x:c>
      <x:c r="D11" s="14" t="str">
        <x:v>Multi-qubit Rydberg gates between distant atoms</x:v>
      </x:c>
      <x:c r="E11" s="14" t="n">
        <x:v>2025</x:v>
      </x:c>
      <x:c r="F11" s="14" t="str">
        <x:v>theory/gates</x:v>
      </x:c>
      <x:c r="G11" s="14" t="str">
        <x:v>multi-qubit gates; distant atoms; quantum bus</x:v>
      </x:c>
      <x:c r="H11" s="14" t="str">
        <x:v>FORTH / University of Crete / YerPhI</x:v>
      </x:c>
      <x:c r="I11" s="14" t="str">
        <x:v>candidate</x:v>
      </x:c>
      <x:c r="J11" s="14" t="str">
        <x:v>add as B theory candidate after duplicate check</x:v>
      </x:c>
      <x:c r="K11" s="14" t="str">
        <x:v>B candidate</x:v>
      </x:c>
      <x:c r="L11" s="14" t="str">
        <x:v>https://arxiv.org/abs/2507.16602</x:v>
      </x:c>
      <x:c r="M11" s="14" t="str">
        <x:v>Clear neutral-atom/Rydberg gate theory; has explicit affiliations in Quantum/arXiv pages.</x:v>
      </x:c>
    </x:row>
    <x:row r="12">
      <x:c r="A12" s="14" t="str">
        <x:v>REF-v1.9-011</x:v>
      </x:c>
      <x:c r="B12" s="14" t="str">
        <x:v>REV-009</x:v>
      </x:c>
      <x:c r="C12" s="14" t="str">
        <x:v>Doultsinos &amp; Petrosyan</x:v>
      </x:c>
      <x:c r="D12" s="14" t="str">
        <x:v>Quantum gates between distant atoms mediated by a Rydberg excitation antiferromagnet</x:v>
      </x:c>
      <x:c r="E12" s="14" t="n">
        <x:v>2025</x:v>
      </x:c>
      <x:c r="F12" s="14" t="str">
        <x:v>theory/gates</x:v>
      </x:c>
      <x:c r="G12" s="14" t="str">
        <x:v>distant atoms; Rydberg mediator; connectivity</x:v>
      </x:c>
      <x:c r="H12" s="14" t="str">
        <x:v>FORTH / YerPhI</x:v>
      </x:c>
      <x:c r="I12" s="14" t="str">
        <x:v>candidate</x:v>
      </x:c>
      <x:c r="J12" s="14" t="str">
        <x:v>merge with Delakouras/Doultsinos/Petrosyan candidate rather than create duplicate</x:v>
      </x:c>
      <x:c r="K12" s="14" t="str">
        <x:v>B candidate</x:v>
      </x:c>
      <x:c r="L12" s="14" t="str">
        <x:v>https://doi.org/10.1103/PhysRevResearch.7.023246</x:v>
      </x:c>
      <x:c r="M12" s="14" t="str">
        <x:v>Likely same theory node as REF-v1.9-010.</x:v>
      </x:c>
    </x:row>
    <x:row r="13">
      <x:c r="A13" s="14" t="str">
        <x:v>REF-v1.9-012</x:v>
      </x:c>
      <x:c r="B13" s="14" t="str">
        <x:v>REV-009</x:v>
      </x:c>
      <x:c r="C13" s="14" t="str">
        <x:v>Khazali &amp; Mølmer</x:v>
      </x:c>
      <x:c r="D13" s="14" t="str">
        <x:v>Controlled-SWAP gates by tuning interfering transition pathways in neutral atom arrays</x:v>
      </x:c>
      <x:c r="E13" s="14" t="n">
        <x:v>2025</x:v>
      </x:c>
      <x:c r="F13" s="14" t="str">
        <x:v>theory/gates</x:v>
      </x:c>
      <x:c r="G13" s="14" t="str">
        <x:v>controlled-SWAP; exchange; Rydberg blockade</x:v>
      </x:c>
      <x:c r="H13" s="14" t="str">
        <x:v>Khazali / Mølmer</x:v>
      </x:c>
      <x:c r="I13" s="14" t="str">
        <x:v>candidate</x:v>
      </x:c>
      <x:c r="J13" s="14" t="str">
        <x:v>resolve affiliations; likely B theory if not duplicate</x:v>
      </x:c>
      <x:c r="K13" s="14" t="str">
        <x:v>B candidate</x:v>
      </x:c>
      <x:c r="L13" s="14" t="str">
        <x:v>https://arxiv.org/abs/2511.22214</x:v>
      </x:c>
      <x:c r="M13" s="14" t="str">
        <x:v>Adds native exchange/Fredkin gate theory for neutral-atom Rydberg processors.</x:v>
      </x:c>
    </x:row>
    <x:row r="14">
      <x:c r="A14" s="14" t="str">
        <x:v>REF-v1.9-013</x:v>
      </x:c>
      <x:c r="B14" s="14" t="str">
        <x:v>REV-009</x:v>
      </x:c>
      <x:c r="C14" s="14" t="str">
        <x:v>Ildefonso et al.</x:v>
      </x:c>
      <x:c r="D14" s="14" t="str">
        <x:v>Expanding the Neutral Atom Gate Set: Native iSWAP and Exchange Gates from Dipolar Rydberg Interactions</x:v>
      </x:c>
      <x:c r="E14" s="14" t="n">
        <x:v>2025</x:v>
      </x:c>
      <x:c r="F14" s="14" t="str">
        <x:v>theory/gates</x:v>
      </x:c>
      <x:c r="G14" s="14" t="str">
        <x:v>iSWAP; exchange gates; dipolar Rydberg interactions</x:v>
      </x:c>
      <x:c r="H14" s="14" t="str">
        <x:v>Lechner / Innsbruck or related</x:v>
      </x:c>
      <x:c r="I14" s="14" t="str">
        <x:v>candidate</x:v>
      </x:c>
      <x:c r="J14" s="14" t="str">
        <x:v>resolve affiliations; likely B theory/control</x:v>
      </x:c>
      <x:c r="K14" s="14" t="str">
        <x:v>B candidate</x:v>
      </x:c>
      <x:c r="L14" s="14" t="str">
        <x:v>https://arxiv.org/abs/2512.05037</x:v>
      </x:c>
      <x:c r="M14" s="14" t="str">
        <x:v>Potentially relevant to expanded gate set beyond blockade CZ.</x:v>
      </x:c>
    </x:row>
    <x:row r="15">
      <x:c r="A15" s="14" t="str">
        <x:v>REF-v1.9-014</x:v>
      </x:c>
      <x:c r="B15" s="14" t="str">
        <x:v>REV-009</x:v>
      </x:c>
      <x:c r="C15" s="14" t="str">
        <x:v>Endres group</x:v>
      </x:c>
      <x:c r="D15" s="14" t="str">
        <x:v>Gate-based Readout and Cooling of Neutral Atoms</x:v>
      </x:c>
      <x:c r="E15" s="14" t="n">
        <x:v>2026</x:v>
      </x:c>
      <x:c r="F15" s="14" t="str">
        <x:v>experiment/toolbox</x:v>
      </x:c>
      <x:c r="G15" s="14" t="str">
        <x:v>ancilla readout; cooling; Rydberg entangling gates</x:v>
      </x:c>
      <x:c r="H15" s="14" t="str">
        <x:v>Endres / Caltech</x:v>
      </x:c>
      <x:c r="I15" s="14" t="str">
        <x:v>already_covered</x:v>
      </x:c>
      <x:c r="J15" s="14" t="str">
        <x:v>keep in paper layer, not new DB node</x:v>
      </x:c>
      <x:c r="K15" s="14" t="str">
        <x:v>A evidence</x:v>
      </x:c>
      <x:c r="L15" s="14" t="str">
        <x:v>https://arxiv.org/abs/2603.21643</x:v>
      </x:c>
      <x:c r="M15" s="14" t="str">
        <x:v>Already captured in earlier arXiv layer; useful as cross-check from review/QEC thread.</x:v>
      </x:c>
    </x:row>
    <x:row r="16">
      <x:c r="A16" s="14" t="str">
        <x:v>REF-v1.9-015</x:v>
      </x:c>
      <x:c r="B16" s="14" t="str">
        <x:v>REV-009</x:v>
      </x:c>
      <x:c r="C16" s="14" t="str">
        <x:v>Saffman/Wisconsin related</x:v>
      </x:c>
      <x:c r="D16" s="14" t="str">
        <x:v>Fast measurements and multiqubit gates in dual-species atomic arrays</x:v>
      </x:c>
      <x:c r="E16" s="14" t="n">
        <x:v>2024</x:v>
      </x:c>
      <x:c r="F16" s="14" t="str">
        <x:v>experiment/QEC</x:v>
      </x:c>
      <x:c r="G16" s="14" t="str">
        <x:v>dual-species arrays; mid-circuit measurements; Rydberg gates</x:v>
      </x:c>
      <x:c r="H16" s="14" t="str">
        <x:v>Wisconsin / Infleqtion ecosystem</x:v>
      </x:c>
      <x:c r="I16" s="14" t="str">
        <x:v>candidate_or_covered</x:v>
      </x:c>
      <x:c r="J16" s="14" t="str">
        <x:v>verify title/source and duplicate with Saffman/Wisconsin rows</x:v>
      </x:c>
      <x:c r="K16" s="14" t="str">
        <x:v>A/B evidence</x:v>
      </x:c>
      <x:c r="L16" s="14" t="str">
        <x:v>https://qpal.physics.wisc.edu/publications.html</x:v>
      </x:c>
      <x:c r="M16" s="14" t="str">
        <x:v>Publication list signal for dual-species route emphasized by Saffman review.</x:v>
      </x:c>
    </x:row>
    <x:row r="17">
      <x:c r="A17" s="14" t="str">
        <x:v>REF-v1.9-016</x:v>
      </x:c>
      <x:c r="B17" s="14" t="str">
        <x:v>REV-009</x:v>
      </x:c>
      <x:c r="C17" s="14" t="str">
        <x:v>Velocity-enabled QC authors</x:v>
      </x:c>
      <x:c r="D17" s="14" t="str">
        <x:v>Velocity-Enabled Quantum Computing with Neutral Atoms</x:v>
      </x:c>
      <x:c r="E17" s="14" t="n">
        <x:v>2026</x:v>
      </x:c>
      <x:c r="F17" s="14" t="str">
        <x:v>experiment/architecture</x:v>
      </x:c>
      <x:c r="G17" s="14" t="str">
        <x:v>moving atoms; mid-circuit preparation/measurement; QEC architecture</x:v>
      </x:c>
      <x:c r="H17" s="14" t="str">
        <x:v>needs affiliation cleanup</x:v>
      </x:c>
      <x:c r="I17" s="14" t="str">
        <x:v>candidate</x:v>
      </x:c>
      <x:c r="J17" s="14" t="str">
        <x:v>extract last author/institution; likely B if architecture-specific</x:v>
      </x:c>
      <x:c r="K17" s="14" t="str">
        <x:v>B candidate</x:v>
      </x:c>
      <x:c r="L17" s="14" t="str">
        <x:v>https://arxiv.org/abs/2603.15561</x:v>
      </x:c>
      <x:c r="M17" s="14" t="str">
        <x:v>Relevant to transport-based connectivity path discussed in Saffman review.</x:v>
      </x:c>
    </x:row>
    <x:row r="18">
      <x:c r="A18" s="14" t="str">
        <x:v>REF-v1.9-017</x:v>
      </x:c>
      <x:c r="B18" s="14" t="str">
        <x:v>REV-009</x:v>
      </x:c>
      <x:c r="C18" s="14" t="str">
        <x:v>Unknown / multi-target gate authors</x:v>
      </x:c>
      <x:c r="D18" s="14" t="str">
        <x:v>Multi-Target Rydberg Gates via Spatial Blockade Engineering</x:v>
      </x:c>
      <x:c r="E18" s="14" t="n">
        <x:v>2025</x:v>
      </x:c>
      <x:c r="F18" s="14" t="str">
        <x:v>theory/gates</x:v>
      </x:c>
      <x:c r="G18" s="14" t="str">
        <x:v>multi-target gates; syndrome extraction; spatial blockade</x:v>
      </x:c>
      <x:c r="H18" s="14" t="str">
        <x:v>needs affiliation cleanup</x:v>
      </x:c>
      <x:c r="I18" s="14" t="str">
        <x:v>candidate</x:v>
      </x:c>
      <x:c r="J18" s="14" t="str">
        <x:v>extract last author/institution</x:v>
      </x:c>
      <x:c r="K18" s="14" t="str">
        <x:v>B candidate</x:v>
      </x:c>
      <x:c r="L18" s="14" t="str">
        <x:v>https://arxiv.org/abs/2504.15282</x:v>
      </x:c>
      <x:c r="M18" s="14" t="str">
        <x:v>Relevant to syndrome extraction and reduced resource overhead.</x:v>
      </x:c>
    </x:row>
    <x:row r="19">
      <x:c r="A19" s="14" t="str">
        <x:v>REF-v1.9-018</x:v>
      </x:c>
      <x:c r="B19" s="14" t="str">
        <x:v>REV-009</x:v>
      </x:c>
      <x:c r="C19" s="14" t="str">
        <x:v>Belyansky et al.</x:v>
      </x:c>
      <x:c r="D19" s="14" t="str">
        <x:v>State-insensitive Rydberg interactions / alkaline-earth + alkali idea</x:v>
      </x:c>
      <x:c r="E19" s="14" t="n">
        <x:v>2019</x:v>
      </x:c>
      <x:c r="F19" s="14" t="str">
        <x:v>older_theory</x:v>
      </x:c>
      <x:c r="G19" s="14" t="str">
        <x:v>state-insensitive Rydberg interactions; mid-circuit measurement support</x:v>
      </x:c>
      <x:c r="H19" s="14" t="str">
        <x:v>older reference</x:v>
      </x:c>
      <x:c r="I19" s="14" t="str">
        <x:v>do_not_promote_now</x:v>
      </x:c>
      <x:c r="J19" s="14" t="str">
        <x:v>keep as conceptual reference outside 2024-2026 PI map</x:v>
      </x:c>
      <x:c r="K19" s="14" t="str">
        <x:v>older_support</x:v>
      </x:c>
      <x:c r="L19" s="14" t="str">
        <x:v>https://arxiv.org/html/2505.11218v3</x:v>
      </x:c>
      <x:c r="M19" s="14" t="str">
        <x:v>Outside target year window; useful only for conceptual lineage.</x:v>
      </x:c>
    </x:row>
    <x:row r="20">
      <x:c r="A20" s="14" t="str">
        <x:v>REF-v1.9-019</x:v>
      </x:c>
      <x:c r="B20" s="14" t="str">
        <x:v>REV-009</x:v>
      </x:c>
      <x:c r="C20" s="14" t="str">
        <x:v>Kurdak 2025</x:v>
      </x:c>
      <x:c r="D20" s="14" t="str">
        <x:v>Microwave/Förster tuning route for extended Rydberg interactions</x:v>
      </x:c>
      <x:c r="E20" s="14" t="n">
        <x:v>2025</x:v>
      </x:c>
      <x:c r="F20" s="14" t="str">
        <x:v>theory/interactions</x:v>
      </x:c>
      <x:c r="G20" s="14" t="str">
        <x:v>microwave dressing; Förster defects; longer range</x:v>
      </x:c>
      <x:c r="H20" s="14" t="str">
        <x:v>Kurdak candidate</x:v>
      </x:c>
      <x:c r="I20" s="14" t="str">
        <x:v>candidate</x:v>
      </x:c>
      <x:c r="J20" s="14" t="str">
        <x:v>resolve exact paper/authors; possibly relevant to user's microwave dressing thread</x:v>
      </x:c>
      <x:c r="K20" s="14" t="str">
        <x:v>B/C candidate</x:v>
      </x:c>
      <x:c r="L20" s="14" t="str">
        <x:v>https://arxiv.org/html/2505.11218v3</x:v>
      </x:c>
      <x:c r="M20" s="14" t="str">
        <x:v>Cited by Saffman review in context of extending interaction range.</x:v>
      </x:c>
    </x:row>
    <x:row r="21">
      <x:c r="A21" s="14" t="str">
        <x:v>REF-v1.9-020</x:v>
      </x:c>
      <x:c r="B21" s="14" t="str">
        <x:v>REV-009</x:v>
      </x:c>
      <x:c r="C21" s="14" t="str">
        <x:v>Cesa / Sun / Doultsinos line</x:v>
      </x:c>
      <x:c r="D21" s="14" t="str">
        <x:v>Auxiliary atom / quantum bus mediated long-range gates</x:v>
      </x:c>
      <x:c r="E21" s="14" t="n">
        <x:v>2024</x:v>
      </x:c>
      <x:c r="F21" s="14" t="str">
        <x:v>theory/connectivity</x:v>
      </x:c>
      <x:c r="G21" s="14" t="str">
        <x:v>quantum bus; effective long-range gates</x:v>
      </x:c>
      <x:c r="H21" s="14" t="str">
        <x:v>needs de-duplication</x:v>
      </x:c>
      <x:c r="I21" s="14" t="str">
        <x:v>candidate</x:v>
      </x:c>
      <x:c r="J21" s="14" t="str">
        <x:v>merge with Doultsinos/Petrosyan if same thread</x:v>
      </x:c>
      <x:c r="K21" s="14" t="str">
        <x:v>B candidate</x:v>
      </x:c>
      <x:c r="L21" s="14" t="str">
        <x:v>https://arxiv.org/html/2505.11218v3</x:v>
      </x:c>
      <x:c r="M21" s="14" t="str">
        <x:v>Useful for long-range connectivity route; avoid creating duplicate nodes.</x:v>
      </x:c>
    </x:row>
  </x:sheetData>
  <x:pageMargins left="0.7" right="0.7" top="0.75" bottom="0.75" header="0.3" footer="0.3"/>
  <x:tableParts count="1">
    <x:tablePart xmlns:r="http://schemas.openxmlformats.org/officeDocument/2006/relationships" r:id="Rd8babf8e3d024fb8"/>
  </x:tableParts>
</x:worksheet>
</file>

<file path=xl/worksheets/sheet39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2" hidden="0" customWidth="1"/>
    <x:col min="3" max="3" width="10" hidden="0" customWidth="1"/>
    <x:col min="4" max="4" width="48" hidden="0" customWidth="1"/>
    <x:col min="5" max="5" width="18" hidden="0" customWidth="1"/>
    <x:col min="6" max="6" width="18" hidden="0" customWidth="1"/>
    <x:col min="7" max="7" width="12" hidden="0" customWidth="1"/>
    <x:col min="8" max="8" width="12" hidden="0" customWidth="1"/>
    <x:col min="9" max="9" width="12" hidden="0" customWidth="1"/>
    <x:col min="10" max="10" width="24" hidden="0" customWidth="1"/>
    <x:col min="11" max="11" width="50" hidden="0" customWidth="1"/>
    <x:col min="12" max="12" width="56" hidden="0" customWidth="1"/>
    <x:col min="13" max="13" width="48" hidden="0" customWidth="1"/>
  </x:cols>
  <x:sheetData>
    <x:row r="1">
      <x:c r="A1" s="185" t="str">
        <x:v>run_id</x:v>
      </x:c>
      <x:c r="B1" s="185" t="str">
        <x:v>date</x:v>
      </x:c>
      <x:c r="C1" s="185" t="str">
        <x:v>review_id</x:v>
      </x:c>
      <x:c r="D1" s="185" t="str">
        <x:v>review_title</x:v>
      </x:c>
      <x:c r="E1" s="185" t="str">
        <x:v>references_screened</x:v>
      </x:c>
      <x:c r="F1" s="185" t="str">
        <x:v>new_reference_rows</x:v>
      </x:c>
      <x:c r="G1" s="185" t="str">
        <x:v>new_A_nodes</x:v>
      </x:c>
      <x:c r="H1" s="185" t="str">
        <x:v>B_candidates</x:v>
      </x:c>
      <x:c r="I1" s="185" t="str">
        <x:v>C_or_boundary</x:v>
      </x:c>
      <x:c r="J1" s="185" t="str">
        <x:v>already_covered_or_duplicate</x:v>
      </x:c>
      <x:c r="K1" s="185" t="str">
        <x:v>decision</x:v>
      </x:c>
      <x:c r="L1" s="185" t="str">
        <x:v>next_action</x:v>
      </x:c>
      <x:c r="M1" s="185" t="str">
        <x:v>source_url</x:v>
      </x:c>
    </x:row>
    <x:row r="2">
      <x:c r="A2" s="14" t="str">
        <x:v>RUN-REVIEW-v1.9</x:v>
      </x:c>
      <x:c r="B2" s="14" t="str">
        <x:v>2026-06-18</x:v>
      </x:c>
      <x:c r="C2" s="14" t="str">
        <x:v>REV-009</x:v>
      </x:c>
      <x:c r="D2" s="14" t="str">
        <x:v>Quantum computing with atomic qubit arrays: confronting the cost of connectivity</x:v>
      </x:c>
      <x:c r="E2" s="14" t="n">
        <x:v>20</x:v>
      </x:c>
      <x:c r="F2" s="14" t="n">
        <x:v>20</x:v>
      </x:c>
      <x:c r="G2" s="14" t="n">
        <x:v>0</x:v>
      </x:c>
      <x:c r="H2" s="14" t="n">
        <x:v>12</x:v>
      </x:c>
      <x:c r="I2" s="14" t="n">
        <x:v>2</x:v>
      </x:c>
      <x:c r="J2" s="14" t="n">
        <x:v>6</x:v>
      </x:c>
      <x:c r="K2" s="14" t="str">
        <x:v>No DB promotions yet; created reference-mining layer and candidate actions.</x:v>
      </x:c>
      <x:c r="L2" s="14" t="str">
        <x:v>Resolve affiliations for B candidates; merge duplicates; then promote only non-duplicate theory/QEC nodes.</x:v>
      </x:c>
      <x:c r="M2" s="14" t="str">
        <x:v>https://arxiv.org/abs/2505.11218</x:v>
      </x:c>
    </x:row>
    <x:row r="3">
      <x:c r="A3" s="14" t="str">
        <x:v>RUN-REVIEW-v1.9-secondary</x:v>
      </x:c>
      <x:c r="B3" s="14" t="str">
        <x:v>2026-06-18</x:v>
      </x:c>
      <x:c r="C3" s="14" t="str">
        <x:v>REV-009</x:v>
      </x:c>
      <x:c r="D3" s="14" t="str">
        <x:v>Targeted reference extraction from Saffman 2025 sections on state-of-the-art, connectivity, QEC and syndrome extraction</x:v>
      </x:c>
      <x:c r="E3" s="14" t="n">
        <x:v>20</x:v>
      </x:c>
      <x:c r="F3" s="14" t="n">
        <x:v>20</x:v>
      </x:c>
      <x:c r="G3" s="14" t="n">
        <x:v>0</x:v>
      </x:c>
      <x:c r="H3" s="14" t="n">
        <x:v>12</x:v>
      </x:c>
      <x:c r="I3" s="14" t="n">
        <x:v>2</x:v>
      </x:c>
      <x:c r="J3" s="14" t="n">
        <x:v>6</x:v>
      </x:c>
      <x:c r="K3" s="14" t="str">
        <x:v>Review mining now started; not enough to declare review source saturated.</x:v>
      </x:c>
      <x:c r="L3" s="14" t="str">
        <x:v>Next: forward-citation check for Poole, Pecorari, Doultsinos/Petrosyan, Khazali/Mølmer, Lechner.</x:v>
      </x:c>
      <x:c r="M3" s="14" t="str">
        <x:v>https://arxiv.org/html/2505.11218v3</x:v>
      </x:c>
    </x:row>
  </x:sheetData>
  <x:pageMargins left="0.7" right="0.7" top="0.75" bottom="0.75" header="0.3" footer="0.3"/>
  <x:tableParts count="1">
    <x:tablePart xmlns:r="http://schemas.openxmlformats.org/officeDocument/2006/relationships" r:id="R77d2157b15a2491c"/>
  </x:tableParts>
</x:worksheet>
</file>

<file path=xl/worksheets/sheet40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8" hidden="0" customWidth="1"/>
    <x:col min="3" max="3" width="64" hidden="0" customWidth="1"/>
    <x:col min="4" max="4" width="52" hidden="0" customWidth="1"/>
  </x:cols>
  <x:sheetData>
    <x:row r="1">
      <x:c r="A1" s="185" t="str">
        <x:v>item</x:v>
      </x:c>
      <x:c r="B1" s="185" t="str">
        <x:v>status</x:v>
      </x:c>
      <x:c r="C1" s="185" t="str">
        <x:v>detail</x:v>
      </x:c>
      <x:c r="D1" s="185" t="str">
        <x:v>next_action</x:v>
      </x:c>
    </x:row>
    <x:row r="2">
      <x:c r="A2" s="14" t="str">
        <x:v>Review mining status</x:v>
      </x:c>
      <x:c r="B2" s="14" t="str">
        <x:v>started</x:v>
      </x:c>
      <x:c r="C2" s="14" t="str">
        <x:v>REV-009 is now mined at a first-pass level with 20 reference-derived rows.</x:v>
      </x:c>
      <x:c r="D2" s="14" t="str">
        <x:v>Continue with forward citations and affiliation cleanup.</x:v>
      </x:c>
    </x:row>
    <x:row r="3">
      <x:c r="A3" s="14" t="str">
        <x:v>New A-core yield</x:v>
      </x:c>
      <x:c r="B3" s="14" t="str">
        <x:v>0</x:v>
      </x:c>
      <x:c r="C3" s="14" t="str">
        <x:v>No new experimental core nodes emerged from this review pass.</x:v>
      </x:c>
      <x:c r="D3" s="14" t="str">
        <x:v>Good saturation signal, but not enough alone.</x:v>
      </x:c>
    </x:row>
    <x:row r="4">
      <x:c r="A4" s="14" t="str">
        <x:v>B-candidate yield</x:v>
      </x:c>
      <x:c r="B4" s="14" t="str">
        <x:v>12</x:v>
      </x:c>
      <x:c r="C4" s="14" t="str">
        <x:v>Mostly theory/QEC/connectivity/control nodes: Pecorari, Doultsinos/Petrosyan, Khazali/Mølmer, Lechner, etc.</x:v>
      </x:c>
      <x:c r="D4" s="14" t="str">
        <x:v>Clean affiliations and de-duplicate before DB promotion.</x:v>
      </x:c>
    </x:row>
    <x:row r="5">
      <x:c r="A5" s="14" t="str">
        <x:v>Boundary pressure</x:v>
      </x:c>
      <x:c r="B5" s="14" t="str">
        <x:v>2</x:v>
      </x:c>
      <x:c r="C5" s="14" t="str">
        <x:v>Older or conceptual references are useful for lineage but outside the 2024-2026 PI map.</x:v>
      </x:c>
      <x:c r="D5" s="14" t="str">
        <x:v>Keep out of Database unless needed for historical context.</x:v>
      </x:c>
    </x:row>
    <x:row r="6">
      <x:c r="A6" s="14" t="str">
        <x:v>Stop criterion</x:v>
      </x:c>
      <x:c r="B6" s="14" t="str">
        <x:v>not met</x:v>
      </x:c>
      <x:c r="C6" s="14" t="str">
        <x:v>Review source is not exhausted: this is one review and first-pass references only.</x:v>
      </x:c>
      <x:c r="D6" s="14" t="str">
        <x:v>Need multiple reviews mined + forward citations + duplicate yield trend.</x:v>
      </x:c>
    </x:row>
  </x:sheetData>
  <x:pageMargins left="0.7" right="0.7" top="0.75" bottom="0.75" header="0.3" footer="0.3"/>
</x:worksheet>
</file>

<file path=xl/worksheets/sheet41.xml><?xml version="1.0" encoding="utf-8"?>
<x:worksheet xmlns:x="http://schemas.openxmlformats.org/spreadsheetml/2006/main">
  <x:sheetFormatPr defaultRowHeight="15"/>
  <x:cols>
    <x:col min="1" max="1" width="10.380000114440918" hidden="0" customWidth="1"/>
    <x:col min="2" max="2" width="8" hidden="0" customWidth="1"/>
    <x:col min="3" max="3" width="55.75" hidden="0" customWidth="1"/>
    <x:col min="4" max="4" width="32.5" hidden="0" customWidth="1"/>
    <x:col min="5" max="5" width="37" hidden="0" customWidth="1"/>
    <x:col min="6" max="6" width="41" hidden="0" customWidth="1"/>
    <x:col min="7" max="7" width="14.380000114440918" hidden="0" customWidth="1"/>
    <x:col min="8" max="8" width="16.1299991607666" hidden="0" customWidth="1"/>
    <x:col min="9" max="9" width="14.75" hidden="0" customWidth="1"/>
    <x:col min="10" max="10" width="10.5" hidden="0" customWidth="1"/>
    <x:col min="11" max="11" width="41.25" hidden="0" customWidth="1"/>
    <x:col min="12" max="12" width="99.87999725341797" hidden="0" customWidth="1"/>
    <x:col min="13" max="13" width="53.880001068115234" hidden="0" customWidth="1"/>
  </x:cols>
  <x:sheetData>
    <x:row r="1">
      <x:c r="A1" s="189" t="str">
        <x:v>ref_id</x:v>
      </x:c>
      <x:c r="B1" s="189" t="str">
        <x:v>review_id</x:v>
      </x:c>
      <x:c r="C1" s="189" t="str">
        <x:v>candidate_or_reference</x:v>
      </x:c>
      <x:c r="D1" s="189" t="str">
        <x:v>last_author_or_lead</x:v>
      </x:c>
      <x:c r="E1" s="189" t="str">
        <x:v>resolved_institution</x:v>
      </x:c>
      <x:c r="F1" s="189" t="str">
        <x:v>city_country</x:v>
      </x:c>
      <x:c r="G1" s="189" t="str">
        <x:v>classification</x:v>
      </x:c>
      <x:c r="H1" s="189" t="str">
        <x:v>decision</x:v>
      </x:c>
      <x:c r="I1" s="189" t="str">
        <x:v>database_entry_id</x:v>
      </x:c>
      <x:c r="J1" s="189" t="str">
        <x:v>confidence</x:v>
      </x:c>
      <x:c r="K1" s="189" t="str">
        <x:v>source_url</x:v>
      </x:c>
      <x:c r="L1" s="189" t="str">
        <x:v>evidence_notes</x:v>
      </x:c>
      <x:c r="M1" s="189" t="str">
        <x:v>next_action</x:v>
      </x:c>
    </x:row>
    <x:row r="2">
      <x:c r="A2" s="14" t="str">
        <x:v>REF-v1.9-003</x:v>
      </x:c>
      <x:c r="B2" s="14" t="str">
        <x:v>REV-009</x:v>
      </x:c>
      <x:c r="C2" s="14" t="str">
        <x:v>Poole et al., qLDPC optimized Rydberg gates</x:v>
      </x:c>
      <x:c r="D2" s="14" t="str">
        <x:v>Mark Saffman</x:v>
      </x:c>
      <x:c r="E2" s="14" t="str">
        <x:v>University of Wisconsin-Madison</x:v>
      </x:c>
      <x:c r="F2" s="14" t="str">
        <x:v>Madison, United States</x:v>
      </x:c>
      <x:c r="G2" s="14" t="str">
        <x:v>B evidence</x:v>
      </x:c>
      <x:c r="H2" s="14" t="str">
        <x:v>merge_with_existing</x:v>
      </x:c>
      <x:c r="I2" s="14" t="str">
        <x:v>E-005</x:v>
      </x:c>
      <x:c r="J2" s="14" t="str">
        <x:v>high</x:v>
      </x:c>
      <x:c r="K2" s="14" t="str">
        <x:v>https://arxiv.org/abs/2404.18809</x:v>
      </x:c>
      <x:c r="L2" s="14" t="str">
        <x:v>Paper is last-authored by Saffman and proposes qLDPC implementation with long-range Rydberg gates; existing Saffman row retained.</x:v>
      </x:c>
      <x:c r="M2" s="14" t="str">
        <x:v>Update Saffman row later with 2024-2026 recent-activity status.</x:v>
      </x:c>
    </x:row>
    <x:row r="3">
      <x:c r="A3" s="14" t="str">
        <x:v>REF-v1.9-004</x:v>
      </x:c>
      <x:c r="B3" s="14" t="str">
        <x:v>REV-009</x:v>
      </x:c>
      <x:c r="C3" s="14" t="str">
        <x:v>Pecorari et al., high-rate LDPC codes</x:v>
      </x:c>
      <x:c r="D3" s="14" t="str">
        <x:v>Guido Pupillo</x:v>
      </x:c>
      <x:c r="E3" s="14" t="str">
        <x:v>University of Strasbourg and CNRS, CESQ and ISIS</x:v>
      </x:c>
      <x:c r="F3" s="14" t="str">
        <x:v>Strasbourg, France</x:v>
      </x:c>
      <x:c r="G3" s="14" t="str">
        <x:v>B evidence</x:v>
      </x:c>
      <x:c r="H3" s="14" t="str">
        <x:v>merge_with_existing</x:v>
      </x:c>
      <x:c r="I3" s="14" t="str">
        <x:v>E-035</x:v>
      </x:c>
      <x:c r="J3" s="14" t="str">
        <x:v>high</x:v>
      </x:c>
      <x:c r="K3" s="14" t="str">
        <x:v>https://www.nature.com/articles/s41467-025-56255-5</x:v>
      </x:c>
      <x:c r="L3" s="14" t="str">
        <x:v>Nature page lists authors/affiliations and contribution statement; Pupillo already represented.</x:v>
      </x:c>
      <x:c r="M3" s="14" t="str">
        <x:v>No new node; keep as evidence for Pupillo/QPerfect/QEC layer.</x:v>
      </x:c>
    </x:row>
    <x:row r="4">
      <x:c r="A4" s="14" t="str">
        <x:v>REF-v1.9-007</x:v>
      </x:c>
      <x:c r="B4" s="14" t="str">
        <x:v>REV-009</x:v>
      </x:c>
      <x:c r="C4" s="14" t="str">
        <x:v>Chow et al., leakage-to-erasure conversion</x:v>
      </x:c>
      <x:c r="D4" s="14" t="str">
        <x:v>Sandia / Deutsch / Jau ecosystem</x:v>
      </x:c>
      <x:c r="E4" s="14" t="str">
        <x:v>Sandia National Laboratories / UNM-CQuIC links</x:v>
      </x:c>
      <x:c r="F4" s="14" t="str">
        <x:v>Albuquerque / Livermore, United States</x:v>
      </x:c>
      <x:c r="G4" s="14" t="str">
        <x:v>B evidence</x:v>
      </x:c>
      <x:c r="H4" s="14" t="str">
        <x:v>merge_with_existing</x:v>
      </x:c>
      <x:c r="I4" s="14" t="str">
        <x:v>E-044 / E-045</x:v>
      </x:c>
      <x:c r="J4" s="14" t="str">
        <x:v>medium</x:v>
      </x:c>
      <x:c r="K4" s="14" t="str">
        <x:v>https://doi.org/10.1103/PRXQuantum.5.040343</x:v>
      </x:c>
      <x:c r="L4" s="14" t="str">
        <x:v>Relevant erasure/QEC evidence; Sandia and Deutsch nodes already exist.</x:v>
      </x:c>
      <x:c r="M4" s="14" t="str">
        <x:v>Do not add a Jau row until direct official current group page is collected.</x:v>
      </x:c>
    </x:row>
    <x:row r="5">
      <x:c r="A5" s="14" t="str">
        <x:v>REF-v1.9-009</x:v>
      </x:c>
      <x:c r="B5" s="14" t="str">
        <x:v>REV-009</x:v>
      </x:c>
      <x:c r="C5" s="14" t="str">
        <x:v>R. Lin et al., large deterministic rearrangement / 2000-atom array signal</x:v>
      </x:c>
      <x:c r="D5" s="14" t="str">
        <x:v>needs exact metadata</x:v>
      </x:c>
      <x:c r="E5" s="14" t="str">
        <x:v>needs cleanup</x:v>
      </x:c>
      <x:c r="F5" s="14" t="str">
        <x:v>China?</x:v>
      </x:c>
      <x:c r="G5" s="14" t="str">
        <x:v>B/C candidate</x:v>
      </x:c>
      <x:c r="H5" s="14" t="str">
        <x:v>keep_pending</x:v>
      </x:c>
      <x:c r="I5" s="14"/>
      <x:c r="J5" s="14" t="str">
        <x:v>low</x:v>
      </x:c>
      <x:c r="K5" s="14" t="str">
        <x:v>https://arxiv.org/html/2505.11218v3</x:v>
      </x:c>
      <x:c r="L5" s="14" t="str">
        <x:v>Reference appeared through review scaling discussion but metadata is insufficient.</x:v>
      </x:c>
      <x:c r="M5" s="14" t="str">
        <x:v>Resolve exact title/authors before any DB action.</x:v>
      </x:c>
    </x:row>
    <x:row r="6">
      <x:c r="A6" s="14" t="str">
        <x:v>REF-v1.9-010</x:v>
      </x:c>
      <x:c r="B6" s="14" t="str">
        <x:v>REV-009</x:v>
      </x:c>
      <x:c r="C6" s="14" t="str">
        <x:v>Delakouras, Doultsinos &amp; Petrosyan, multi-qubit distant gates</x:v>
      </x:c>
      <x:c r="D6" s="14" t="str">
        <x:v>David Petrosyan</x:v>
      </x:c>
      <x:c r="E6" s="14" t="str">
        <x:v>FORTH / University of Crete / YerPhI</x:v>
      </x:c>
      <x:c r="F6" s="14" t="str">
        <x:v>Heraklion, Greece / Yerevan, Armenia</x:v>
      </x:c>
      <x:c r="G6" s="14" t="str">
        <x:v>B theory</x:v>
      </x:c>
      <x:c r="H6" s="14" t="str">
        <x:v>promote</x:v>
      </x:c>
      <x:c r="I6" s="14" t="str">
        <x:v>E-078</x:v>
      </x:c>
      <x:c r="J6" s="14" t="str">
        <x:v>high</x:v>
      </x:c>
      <x:c r="K6" s="14" t="str">
        <x:v>https://arxiv.org/html/2507.16602v2</x:v>
      </x:c>
      <x:c r="L6" s="14" t="str">
        <x:v>ArXiv HTML lists FORTH/University of Crete/YerPhI affiliations and optical-tweezer neutral-atom model.</x:v>
      </x:c>
      <x:c r="M6" s="14" t="str">
        <x:v>Track whether FORTH and YerPhI should split later.</x:v>
      </x:c>
    </x:row>
    <x:row r="7">
      <x:c r="A7" s="14" t="str">
        <x:v>REF-v1.9-011</x:v>
      </x:c>
      <x:c r="B7" s="14" t="str">
        <x:v>REV-009</x:v>
      </x:c>
      <x:c r="C7" s="14" t="str">
        <x:v>Doultsinos &amp; Petrosyan distant gates via Rydberg antiferromagnet</x:v>
      </x:c>
      <x:c r="D7" s="14" t="str">
        <x:v>David Petrosyan</x:v>
      </x:c>
      <x:c r="E7" s="14" t="str">
        <x:v>FORTH / YerPhI</x:v>
      </x:c>
      <x:c r="F7" s="14" t="str">
        <x:v>Heraklion, Greece / Yerevan, Armenia</x:v>
      </x:c>
      <x:c r="G7" s="14" t="str">
        <x:v>B theory</x:v>
      </x:c>
      <x:c r="H7" s="14" t="str">
        <x:v>merge_with_new</x:v>
      </x:c>
      <x:c r="I7" s="14" t="str">
        <x:v>E-078</x:v>
      </x:c>
      <x:c r="J7" s="14" t="str">
        <x:v>high</x:v>
      </x:c>
      <x:c r="K7" s="14" t="str">
        <x:v>https://doi.org/10.1103/PhysRevResearch.7.023246</x:v>
      </x:c>
      <x:c r="L7" s="14" t="str">
        <x:v>Same gate/connectivity thread as E-078.</x:v>
      </x:c>
      <x:c r="M7" s="14" t="str">
        <x:v>Keep merged.</x:v>
      </x:c>
    </x:row>
    <x:row r="8">
      <x:c r="A8" s="14" t="str">
        <x:v>REF-v1.9-012</x:v>
      </x:c>
      <x:c r="B8" s="14" t="str">
        <x:v>REV-009</x:v>
      </x:c>
      <x:c r="C8" s="14" t="str">
        <x:v>Khazali &amp; Mølmer controlled-SWAP gates</x:v>
      </x:c>
      <x:c r="D8" s="14" t="str">
        <x:v>Klaus Mølmer</x:v>
      </x:c>
      <x:c r="E8" s="14" t="str">
        <x:v>University of Tehran / Niels Bohr Institute</x:v>
      </x:c>
      <x:c r="F8" s="14" t="str">
        <x:v>Tehran, Iran / Copenhagen, Denmark</x:v>
      </x:c>
      <x:c r="G8" s="14" t="str">
        <x:v>B theory</x:v>
      </x:c>
      <x:c r="H8" s="14" t="str">
        <x:v>promote</x:v>
      </x:c>
      <x:c r="I8" s="14" t="str">
        <x:v>E-080</x:v>
      </x:c>
      <x:c r="J8" s="14" t="str">
        <x:v>high</x:v>
      </x:c>
      <x:c r="K8" s="14" t="str">
        <x:v>https://arxiv.org/html/2511.22214v1</x:v>
      </x:c>
      <x:c r="L8" s="14" t="str">
        <x:v>ArXiv HTML lists affiliations and gate mechanism for neutral atom arrays.</x:v>
      </x:c>
      <x:c r="M8" s="14" t="str">
        <x:v>Check whether optical-tweezer specificity appears in follow-up work.</x:v>
      </x:c>
    </x:row>
    <x:row r="9">
      <x:c r="A9" s="14" t="str">
        <x:v>REF-v1.9-013</x:v>
      </x:c>
      <x:c r="B9" s="14" t="str">
        <x:v>REV-009</x:v>
      </x:c>
      <x:c r="C9" s="14" t="str">
        <x:v>Ildefonso et al., native iSWAP and exchange gates</x:v>
      </x:c>
      <x:c r="D9" s="14" t="str">
        <x:v>Wolfgang Lechner</x:v>
      </x:c>
      <x:c r="E9" s="14" t="str">
        <x:v>University of Innsbruck / ParityQC</x:v>
      </x:c>
      <x:c r="F9" s="14" t="str">
        <x:v>Innsbruck, Austria / Hamburg, Germany / Paris, France</x:v>
      </x:c>
      <x:c r="G9" s="14" t="str">
        <x:v>B theory/company</x:v>
      </x:c>
      <x:c r="H9" s="14" t="str">
        <x:v>promote</x:v>
      </x:c>
      <x:c r="I9" s="14" t="str">
        <x:v>E-079</x:v>
      </x:c>
      <x:c r="J9" s="14" t="str">
        <x:v>high</x:v>
      </x:c>
      <x:c r="K9" s="14" t="str">
        <x:v>https://arxiv.org/html/2512.05037v1</x:v>
      </x:c>
      <x:c r="L9" s="14" t="str">
        <x:v>ArXiv HTML lists Innsbruck and ParityQC affiliations and models Sr neutral-atom QPUs.</x:v>
      </x:c>
      <x:c r="M9" s="14" t="str">
        <x:v>Decide later whether to split ParityQC from academic theory node.</x:v>
      </x:c>
    </x:row>
    <x:row r="10">
      <x:c r="A10" s="14" t="str">
        <x:v>REF-v1.9-016</x:v>
      </x:c>
      <x:c r="B10" s="14" t="str">
        <x:v>REV-009</x:v>
      </x:c>
      <x:c r="C10" s="14" t="str">
        <x:v>Velocity-Enabled Quantum Computing with Neutral Atoms</x:v>
      </x:c>
      <x:c r="D10" s="14" t="str">
        <x:v>Johannes Zeiher</x:v>
      </x:c>
      <x:c r="E10" s="14" t="str">
        <x:v>MPQ / LMU Munich</x:v>
      </x:c>
      <x:c r="F10" s="14" t="str">
        <x:v>Garching / Munich, Germany</x:v>
      </x:c>
      <x:c r="G10" s="14" t="str">
        <x:v>A/B evidence</x:v>
      </x:c>
      <x:c r="H10" s="14" t="str">
        <x:v>merge_with_existing</x:v>
      </x:c>
      <x:c r="I10" s="14" t="str">
        <x:v>E-006 / E-007</x:v>
      </x:c>
      <x:c r="J10" s="14" t="str">
        <x:v>high</x:v>
      </x:c>
      <x:c r="K10" s="14" t="str">
        <x:v>https://arxiv.org/abs/2603.15561</x:v>
      </x:c>
      <x:c r="L10" s="14" t="str">
        <x:v>ArXiv abstract lists Zeiher as last author; existing MPQ/LMU rows already cover this axis.</x:v>
      </x:c>
      <x:c r="M10" s="14" t="str">
        <x:v>Use as evidence for E-006/E-007, no new node.</x:v>
      </x:c>
    </x:row>
    <x:row r="11">
      <x:c r="A11" s="14" t="str">
        <x:v>REF-v1.9-017</x:v>
      </x:c>
      <x:c r="B11" s="14" t="str">
        <x:v>REV-009</x:v>
      </x:c>
      <x:c r="C11" s="14" t="str">
        <x:v>Multi-Target Rydberg Gates via Spatial Blockade Engineering</x:v>
      </x:c>
      <x:c r="D11" s="14" t="str">
        <x:v>Ang Li / PNNL team</x:v>
      </x:c>
      <x:c r="E11" s="14" t="str">
        <x:v>Pacific Northwest National Laboratory</x:v>
      </x:c>
      <x:c r="F11" s="14" t="str">
        <x:v>Richland, United States</x:v>
      </x:c>
      <x:c r="G11" s="14" t="str">
        <x:v>B architecture</x:v>
      </x:c>
      <x:c r="H11" s="14" t="str">
        <x:v>promote</x:v>
      </x:c>
      <x:c r="I11" s="14" t="str">
        <x:v>E-081</x:v>
      </x:c>
      <x:c r="J11" s="14" t="str">
        <x:v>high</x:v>
      </x:c>
      <x:c r="K11" s="14" t="str">
        <x:v>https://arxiv.org/html/2504.15282v1</x:v>
      </x:c>
      <x:c r="L11" s="14" t="str">
        <x:v>ArXiv HTML lists PNNL/JQI/Fordham/KCL/UCSD affiliations; PNNL is last-author/lead architecture node.</x:v>
      </x:c>
      <x:c r="M11" s="14" t="str">
        <x:v>Keep as architecture/software layer, not experimental hardware.</x:v>
      </x:c>
    </x:row>
    <x:row r="12">
      <x:c r="A12" s="14" t="str">
        <x:v>REF-v1.9-019</x:v>
      </x:c>
      <x:c r="B12" s="14" t="str">
        <x:v>REV-009</x:v>
      </x:c>
      <x:c r="C12" s="14" t="str">
        <x:v>Kurdak / RF-tuned Förster and microwave dressing interaction engineering</x:v>
      </x:c>
      <x:c r="D12" s="14" t="str">
        <x:v>Jon Simon / Stanford-Chicago collaborators</x:v>
      </x:c>
      <x:c r="E12" s="14" t="str">
        <x:v>Stanford University / University of Chicago</x:v>
      </x:c>
      <x:c r="F12" s="14" t="str">
        <x:v>Stanford / Chicago, United States</x:v>
      </x:c>
      <x:c r="G12" s="14" t="str">
        <x:v>C adjacent</x:v>
      </x:c>
      <x:c r="H12" s="14" t="str">
        <x:v>promote_adjacent</x:v>
      </x:c>
      <x:c r="I12" s="14" t="str">
        <x:v>E-082</x:v>
      </x:c>
      <x:c r="J12" s="14" t="str">
        <x:v>medium-high</x:v>
      </x:c>
      <x:c r="K12" s="14" t="str">
        <x:v>https://arxiv.org/html/2603.07958v1</x:v>
      </x:c>
      <x:c r="L12" s="14" t="str">
        <x:v>Direct Rydberg interaction-engineering signal; adjacent to tweezer arrays because experiment is not a standard optical-tweezer array.</x:v>
      </x:c>
      <x:c r="M12" s="14" t="str">
        <x:v>Keep separate adjacent/dressing layer.</x:v>
      </x:c>
    </x:row>
    <x:row r="13">
      <x:c r="A13" s="14" t="str">
        <x:v>REF-v1.9-020</x:v>
      </x:c>
      <x:c r="B13" s="14" t="str">
        <x:v>REV-009</x:v>
      </x:c>
      <x:c r="C13" s="14" t="str">
        <x:v>Cesa/Sun/Doultsinos auxiliary atom / quantum bus line</x:v>
      </x:c>
      <x:c r="D13" s="14" t="str">
        <x:v>needs de-duplication</x:v>
      </x:c>
      <x:c r="E13" s="14" t="str">
        <x:v>overlaps E-078 and existing theory/QEC nodes</x:v>
      </x:c>
      <x:c r="F13" s="14" t="str">
        <x:v>various</x:v>
      </x:c>
      <x:c r="G13" s="14" t="str">
        <x:v>B theory</x:v>
      </x:c>
      <x:c r="H13" s="14" t="str">
        <x:v>merge_or_pending</x:v>
      </x:c>
      <x:c r="I13" s="14" t="str">
        <x:v>E-078 / pending</x:v>
      </x:c>
      <x:c r="J13" s="14" t="str">
        <x:v>medium</x:v>
      </x:c>
      <x:c r="K13" s="14" t="str">
        <x:v>https://arxiv.org/html/2505.11218v3</x:v>
      </x:c>
      <x:c r="L13" s="14" t="str">
        <x:v>Likely overlaps with Doultsinos/Petrosyan quantum-bus branch or other theory nodes.</x:v>
      </x:c>
      <x:c r="M13" s="14" t="str">
        <x:v>Do not promote until exact paper and last author are resolved.</x:v>
      </x:c>
    </x:row>
  </x:sheetData>
  <x:pageMargins left="0.7" right="0.7" top="0.75" bottom="0.75" header="0.3" footer="0.3"/>
</x:worksheet>
</file>

<file path=xl/worksheets/sheet42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52" hidden="0" customWidth="1"/>
    <x:col min="3" max="3" width="24.25" hidden="0" customWidth="1"/>
    <x:col min="4" max="4" width="19.25" hidden="0" customWidth="1"/>
    <x:col min="5" max="5" width="78.87999725341797" hidden="0" customWidth="1"/>
    <x:col min="6" max="6" width="28" hidden="0" customWidth="1"/>
    <x:col min="7" max="7" width="41.25" hidden="0" customWidth="1"/>
  </x:cols>
  <x:sheetData>
    <x:row r="1">
      <x:c r="A1" s="193" t="str">
        <x:v>entry_id</x:v>
      </x:c>
      <x:c r="B1" s="193" t="str">
        <x:v>name</x:v>
      </x:c>
      <x:c r="C1" s="193" t="str">
        <x:v>decision_source</x:v>
      </x:c>
      <x:c r="D1" s="193" t="str">
        <x:v>classification</x:v>
      </x:c>
      <x:c r="E1" s="193" t="str">
        <x:v>reason</x:v>
      </x:c>
      <x:c r="F1" s="193" t="str">
        <x:v>primary_source_url</x:v>
      </x:c>
      <x:c r="G1" s="193" t="str">
        <x:v>notes</x:v>
      </x:c>
    </x:row>
    <x:row r="2">
      <x:c r="A2" s="14" t="str">
        <x:v>E-078</x:v>
      </x:c>
      <x:c r="B2" s="14" t="str">
        <x:v>Petrosyan/FORTH-YerPhI Rydberg multiqubit-gate theory node</x:v>
      </x:c>
      <x:c r="C2" s="14" t="str">
        <x:v>REF-v1.9-010/011</x:v>
      </x:c>
      <x:c r="D2" s="14" t="str">
        <x:v>B theory</x:v>
      </x:c>
      <x:c r="E2" s="14" t="str">
        <x:v>New non-duplicate gate/connectivity theory node from review references.</x:v>
      </x:c>
      <x:c r="F2" s="14" t="str">
        <x:v>https://arxiv.org/html/2507.16602v2</x:v>
      </x:c>
      <x:c r="G2" s="14" t="str">
        <x:v>Merged related distant-gate references into one node.</x:v>
      </x:c>
    </x:row>
    <x:row r="3">
      <x:c r="A3" s="14" t="str">
        <x:v>E-079</x:v>
      </x:c>
      <x:c r="B3" s="14" t="str">
        <x:v>Lechner / Innsbruck-ParityQC neutral-atom gate-set theory node</x:v>
      </x:c>
      <x:c r="C3" s="14" t="str">
        <x:v>REF-v1.9-013</x:v>
      </x:c>
      <x:c r="D3" s="14" t="str">
        <x:v>B mixed theory/company</x:v>
      </x:c>
      <x:c r="E3" s="14" t="str">
        <x:v>New node connecting Innsbruck optimal control and ParityQC neutral-atom gate set.</x:v>
      </x:c>
      <x:c r="F3" s="14" t="str">
        <x:v>https://arxiv.org/html/2512.05037v1</x:v>
      </x:c>
      <x:c r="G3" s="14" t="str">
        <x:v>Company link retained but represented as mixed node.</x:v>
      </x:c>
    </x:row>
    <x:row r="4">
      <x:c r="A4" s="14" t="str">
        <x:v>E-080</x:v>
      </x:c>
      <x:c r="B4" s="14" t="str">
        <x:v>Khazali-Mølmer conditional-exchange neutral-atom gate theory node</x:v>
      </x:c>
      <x:c r="C4" s="14" t="str">
        <x:v>REF-v1.9-012</x:v>
      </x:c>
      <x:c r="D4" s="14" t="str">
        <x:v>B theory</x:v>
      </x:c>
      <x:c r="E4" s="14" t="str">
        <x:v>New theory node for controlled-SWAP/conditional exchange gates in neutral atom arrays.</x:v>
      </x:c>
      <x:c r="F4" s="14" t="str">
        <x:v>https://arxiv.org/html/2511.22214v1</x:v>
      </x:c>
      <x:c r="G4" s="14" t="str">
        <x:v>Optical tweezer specificity marked unclear.</x:v>
      </x:c>
    </x:row>
    <x:row r="5">
      <x:c r="A5" s="14" t="str">
        <x:v>E-081</x:v>
      </x:c>
      <x:c r="B5" s="14" t="str">
        <x:v>PNNL multi-target Rydberg gates and neutral-atom architecture node</x:v>
      </x:c>
      <x:c r="C5" s="14" t="str">
        <x:v>REF-v1.9-017</x:v>
      </x:c>
      <x:c r="D5" s="14" t="str">
        <x:v>B architecture</x:v>
      </x:c>
      <x:c r="E5" s="14" t="str">
        <x:v>New national-lab/software-hardware co-design node for multi-target Rydberg syndrome-extraction gates.</x:v>
      </x:c>
      <x:c r="F5" s="14" t="str">
        <x:v>https://arxiv.org/html/2504.15282v1</x:v>
      </x:c>
      <x:c r="G5" s="14" t="str">
        <x:v>Not experimental platform; architecture/control layer.</x:v>
      </x:c>
    </x:row>
    <x:row r="6">
      <x:c r="A6" s="14" t="str">
        <x:v>E-082</x:v>
      </x:c>
      <x:c r="B6" s="14" t="str">
        <x:v>Stanford-Chicago RF-tuned Förster Rydberg-interaction node</x:v>
      </x:c>
      <x:c r="C6" s="14" t="str">
        <x:v>REF-v1.9-019</x:v>
      </x:c>
      <x:c r="D6" s="14" t="str">
        <x:v>C adjacent</x:v>
      </x:c>
      <x:c r="E6" s="14" t="str">
        <x:v>Relevant Rydberg interaction-engineering/dressing node, but not core tweezer-array platform.</x:v>
      </x:c>
      <x:c r="F6" s="14" t="str">
        <x:v>https://arxiv.org/html/2603.07958v1</x:v>
      </x:c>
      <x:c r="G6" s="14" t="str">
        <x:v>Kept as adjacent layer.</x:v>
      </x:c>
    </x:row>
    <x:row r="7">
      <x:c r="A7" s="14" t="str">
        <x:v>merged</x:v>
      </x:c>
      <x:c r="B7" s="14" t="str">
        <x:v>Poole/Saffman, Pecorari/Pupillo, Zeiher, Sandia, Cesa/Doultsinos</x:v>
      </x:c>
      <x:c r="C7" s="14" t="str">
        <x:v>REF-v1.9-003/004/007/016/020</x:v>
      </x:c>
      <x:c r="D7" s="14" t="str">
        <x:v>evidence / duplicate</x:v>
      </x:c>
      <x:c r="E7" s="14" t="str">
        <x:v>Existing rows already capture these groups or metadata remains insufficient.</x:v>
      </x:c>
      <x:c r="F7" s="14" t="str">
        <x:v>https://arxiv.org/html/2505.11218v3</x:v>
      </x:c>
      <x:c r="G7" s="14" t="str">
        <x:v>Logged in cleanup sheet instead of adding duplicates.</x:v>
      </x:c>
    </x:row>
  </x:sheetData>
  <x:pageMargins left="0.7" right="0.7" top="0.75" bottom="0.75" header="0.3" footer="0.3"/>
</x:worksheet>
</file>

<file path=xl/worksheets/sheet43.xml><?xml version="1.0" encoding="utf-8"?>
<x:worksheet xmlns:x="http://schemas.openxmlformats.org/spreadsheetml/2006/main">
  <x:sheetFormatPr defaultRowHeight="15"/>
  <x:cols>
    <x:col min="1" max="1" width="10.380000114440918" hidden="0" customWidth="1"/>
    <x:col min="2" max="2" width="28" hidden="0" customWidth="1"/>
    <x:col min="3" max="3" width="42" hidden="0" customWidth="1"/>
    <x:col min="4" max="4" width="4.25" hidden="0" customWidth="1"/>
    <x:col min="5" max="5" width="30" hidden="0" customWidth="1"/>
    <x:col min="6" max="6" width="34" hidden="0" customWidth="1"/>
    <x:col min="7" max="7" width="24" hidden="0" customWidth="1"/>
    <x:col min="8" max="8" width="10.5" hidden="0" customWidth="1"/>
    <x:col min="9" max="9" width="36" hidden="0" customWidth="1"/>
    <x:col min="10" max="10" width="42" hidden="0" customWidth="1"/>
    <x:col min="11" max="11" width="56" hidden="0" customWidth="1"/>
  </x:cols>
  <x:sheetData>
    <x:row r="1">
      <x:c r="A1" s="201" t="str">
        <x:v>ref_id</x:v>
      </x:c>
      <x:c r="B1" s="201" t="str">
        <x:v>previous_label</x:v>
      </x:c>
      <x:c r="C1" s="201" t="str">
        <x:v>resolved_title_or_match</x:v>
      </x:c>
      <x:c r="D1" s="201" t="str">
        <x:v>year</x:v>
      </x:c>
      <x:c r="E1" s="201" t="str">
        <x:v>resolved_last_author_or_node</x:v>
      </x:c>
      <x:c r="F1" s="201" t="str">
        <x:v>resolved_affiliation_or_node</x:v>
      </x:c>
      <x:c r="G1" s="201" t="str">
        <x:v>decision</x:v>
      </x:c>
      <x:c r="H1" s="201" t="str">
        <x:v>confidence</x:v>
      </x:c>
      <x:c r="I1" s="201" t="str">
        <x:v>database_action</x:v>
      </x:c>
      <x:c r="J1" s="201" t="str">
        <x:v>source_url</x:v>
      </x:c>
      <x:c r="K1" s="201" t="str">
        <x:v>notes</x:v>
      </x:c>
    </x:row>
    <x:row r="2">
      <x:c r="A2" s="15" t="str">
        <x:v>REF-v1.9-009</x:v>
      </x:c>
      <x:c r="B2" s="15" t="str">
        <x:v>R. Lin et al.; large deterministic rearrangement / 2000-atom array work</x:v>
      </x:c>
      <x:c r="C2" s="15" t="str">
        <x:v>Rearrangement of single atoms in a 2000-site optical tweezers array at cryogenic temperatures</x:v>
      </x:c>
      <x:c r="D2" s="15" t="n">
        <x:v>2024</x:v>
      </x:c>
      <x:c r="E2" s="15" t="str">
        <x:v>Davide Dreon; Antoine Browaeys; Thierry Lahaye / IOGS-PASQAL cryogenic node</x:v>
      </x:c>
      <x:c r="F2" s="15" t="str">
        <x:v>Institut d'Optique Graduate School / Laboratoire Charles Fabry / PASQAL-related cryogenic hardware thread</x:v>
      </x:c>
      <x:c r="G2" s="15" t="str">
        <x:v>resolved_as_duplicate_or_evidence</x:v>
      </x:c>
      <x:c r="H2" s="15" t="str">
        <x:v>medium-high</x:v>
      </x:c>
      <x:c r="I2" s="15" t="str">
        <x:v>Do not create a new Database node; attach as evidence to E-002 and/or PASQAL/IOGS cryogenic array rows.</x:v>
      </x:c>
      <x:c r="J2" s="15" t="str">
        <x:v>https://arxiv.org/abs/2405.19503</x:v>
      </x:c>
      <x:c r="K2" s="15" t="str">
        <x:v>The earlier 'R. Lin' label was too weak. The concrete 2000-site cryogenic tweezer-array source is Pichard et al.; it is core tweezer-scaling evidence but not a new PI/group.</x:v>
      </x:c>
    </x:row>
    <x:row r="3">
      <x:c r="A3" s="15" t="str">
        <x:v>REF-v1.9-016</x:v>
      </x:c>
      <x:c r="B3" s="15" t="str">
        <x:v>Velocity-enabled QC authors</x:v>
      </x:c>
      <x:c r="C3" s="15" t="str">
        <x:v>Velocity-Enabled Quantum Computing with Neutral Atoms</x:v>
      </x:c>
      <x:c r="D3" s="15" t="n">
        <x:v>2026</x:v>
      </x:c>
      <x:c r="E3" s="15" t="str">
        <x:v>Johannes Zeiher</x:v>
      </x:c>
      <x:c r="F3" s="15" t="str">
        <x:v>Max Planck Institute of Quantum Optics / LMU Munich</x:v>
      </x:c>
      <x:c r="G3" s="15" t="str">
        <x:v>resolved_as_existing_node</x:v>
      </x:c>
      <x:c r="H3" s="15" t="str">
        <x:v>high</x:v>
      </x:c>
      <x:c r="I3" s="15" t="str">
        <x:v>Do not create a new Database node; merge as evidence with E-006/E-007.</x:v>
      </x:c>
      <x:c r="J3" s="15" t="str">
        <x:v>https://arxiv.org/abs/2603.15561</x:v>
      </x:c>
      <x:c r="K3" s="15" t="str">
        <x:v>Last author is Johannes Zeiher; this reinforces MPQ/LMU moving-atom/velocity-control architecture for neutral-atom QEC.</x:v>
      </x:c>
    </x:row>
    <x:row r="4">
      <x:c r="A4" s="15" t="str">
        <x:v>REF-v1.9-020</x:v>
      </x:c>
      <x:c r="B4" s="15" t="str">
        <x:v>Cesa / Sun / Doultsinos line; auxiliary atom / quantum bus mediated long-range gates</x:v>
      </x:c>
      <x:c r="C4" s="15" t="str">
        <x:v>Fast Quantum Gates for Neutral Atoms Separated by a Few Tens of Micrometers; related distant-atom Rydberg-gate thread</x:v>
      </x:c>
      <x:c r="D4" s="15" t="n">
        <x:v>2025</x:v>
      </x:c>
      <x:c r="E4" s="15" t="str">
        <x:v>Guido Pupillo / David Petrosyan-related distant-gate theory threads</x:v>
      </x:c>
      <x:c r="F4" s="15" t="str">
        <x:v>Université de Strasbourg / CNRS / CESQ and FORTH-YerPhI thread</x:v>
      </x:c>
      <x:c r="G4" s="15" t="str">
        <x:v>resolved_as_merge</x:v>
      </x:c>
      <x:c r="H4" s="15" t="str">
        <x:v>medium-high</x:v>
      </x:c>
      <x:c r="I4" s="15" t="str">
        <x:v>No new node. Merge evidence into E-034 Pupillo and E-078 Petrosyan/FORTH-YerPhI.</x:v>
      </x:c>
      <x:c r="J4" s="15" t="str">
        <x:v>https://arxiv.org/abs/2511.20437</x:v>
      </x:c>
      <x:c r="K4" s="15" t="str">
        <x:v>The Cesa/Sun/Doultsinos note is useful conceptually for long-range gates, but the actionable 2025 paper is Pupillo-group and the Doultsinos/Petrosyan branch is already represented.</x:v>
      </x:c>
    </x:row>
    <x:row r="5">
      <x:c r="A5" s="15" t="str">
        <x:v>REF-v1.9-019</x:v>
      </x:c>
      <x:c r="B5" s="15" t="str">
        <x:v>Kurdak 2025; microwave/Förster tuning route</x:v>
      </x:c>
      <x:c r="C5" s="15" t="str">
        <x:v>Microwave/Förster tuning route for extended Rydberg interactions</x:v>
      </x:c>
      <x:c r="D5" s="15" t="n">
        <x:v>2025</x:v>
      </x:c>
      <x:c r="E5" s="15" t="str">
        <x:v>pending</x:v>
      </x:c>
      <x:c r="F5" s="15" t="str">
        <x:v>pending</x:v>
      </x:c>
      <x:c r="G5" s="15" t="str">
        <x:v>keep_pending</x:v>
      </x:c>
      <x:c r="H5" s="15" t="str">
        <x:v>low</x:v>
      </x:c>
      <x:c r="I5" s="15" t="str">
        <x:v>Keep in backlog until exact paper/authors are identified; likely adjacent to microwave dressing rather than core tweezer-map node.</x:v>
      </x:c>
      <x:c r="J5" s="15" t="str">
        <x:v>https://arxiv.org/html/2505.11218v3</x:v>
      </x:c>
      <x:c r="K5" s="15" t="str">
        <x:v>Relevant to user's microwave-dressing interest; not enough metadata yet to promote.</x:v>
      </x:c>
    </x:row>
  </x:sheetData>
  <x:pageMargins left="0.7" right="0.7" top="0.75" bottom="0.75" header="0.3" footer="0.3"/>
  <x:tableParts count="1">
    <x:tablePart xmlns:r="http://schemas.openxmlformats.org/officeDocument/2006/relationships" r:id="Rc2b636e868514182"/>
  </x:tableParts>
</x:worksheet>
</file>

<file path=xl/worksheets/sheet4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6" hidden="0" customWidth="1"/>
    <x:col min="3" max="3" width="44" hidden="0" customWidth="1"/>
    <x:col min="4" max="4" width="28" hidden="0" customWidth="1"/>
    <x:col min="5" max="5" width="48" hidden="0" customWidth="1"/>
  </x:cols>
  <x:sheetData>
    <x:row r="1">
      <x:c r="A1" s="201" t="str">
        <x:v>metric</x:v>
      </x:c>
      <x:c r="B1" s="201" t="str">
        <x:v>current_status_v2_1</x:v>
      </x:c>
      <x:c r="C1" s="201" t="str">
        <x:v>target_for_operational_exhaustion</x:v>
      </x:c>
      <x:c r="D1" s="201" t="str">
        <x:v>gap</x:v>
      </x:c>
      <x:c r="E1" s="201" t="str">
        <x:v>recommended_next_action</x:v>
      </x:c>
    </x:row>
    <x:row r="2">
      <x:c r="A2" s="15" t="str">
        <x:v>Database entries</x:v>
      </x:c>
      <x:c r="B2" s="15" t="n">
        <x:v>82</x:v>
      </x:c>
      <x:c r="C2" s="15" t="str">
        <x:v>Stable core plus well-tagged B/C layer</x:v>
      </x:c>
      <x:c r="D2" s="15" t="str">
        <x:v>OK for v2 map; still expanding B/C</x:v>
      </x:c>
      <x:c r="E2" s="15" t="str">
        <x:v>Keep Database stable; promote only if source adds a genuinely new node.</x:v>
      </x:c>
    </x:row>
    <x:row r="3">
      <x:c r="A3" s="15" t="str">
        <x:v>A-core discovery rate</x:v>
      </x:c>
      <x:c r="B3" s="15" t="str">
        <x:v>0 new A-core in several recent batches</x:v>
      </x:c>
      <x:c r="C3" s="15" t="str">
        <x:v>Three consecutive systematic batches with 0 new A-core nodes</x:v>
      </x:c>
      <x:c r="D3" s="15" t="str">
        <x:v>Almost there, but batches need standardized hit counts</x:v>
      </x:c>
      <x:c r="E3" s="15" t="str">
        <x:v>Run fixed arXiv query grid with exact counts per query/year.</x:v>
      </x:c>
    </x:row>
    <x:row r="4">
      <x:c r="A4" s="15" t="str">
        <x:v>B/C discovery rate</x:v>
      </x:c>
      <x:c r="B4" s="15" t="str">
        <x:v>Still nonzero: theory/control/QEC/architecture nodes keep appearing</x:v>
      </x:c>
      <x:c r="C4" s="15" t="str">
        <x:v>≤2 new B nodes per 50 reviewed hits for 3 consecutive batches</x:v>
      </x:c>
      <x:c r="D4" s="15" t="str">
        <x:v>Not met</x:v>
      </x:c>
      <x:c r="E4" s="15" t="str">
        <x:v>Separate core-experimental exhaustion from theory-layer exhaustion.</x:v>
      </x:c>
    </x:row>
    <x:row r="5">
      <x:c r="A5" s="15" t="str">
        <x:v>Affiliation debt</x:v>
      </x:c>
      <x:c r="B5" s="15" t="str">
        <x:v>Most promoted nodes have source-backed affiliations; some paper-layer rows still pending</x:v>
      </x:c>
      <x:c r="C5" s="15" t="str">
        <x:v>≥95% of promoted entries have institution/city/country/source</x:v>
      </x:c>
      <x:c r="D5" s="15" t="str">
        <x:v>Check paper-layer, not map-layer</x:v>
      </x:c>
      <x:c r="E5" s="15" t="str">
        <x:v>Run affiliation QC on Arxiv_PI_Map rows with needs_manual_check.</x:v>
      </x:c>
    </x:row>
    <x:row r="6">
      <x:c r="A6" s="15" t="str">
        <x:v>Review mining</x:v>
      </x:c>
      <x:c r="B6" s="15" t="str">
        <x:v>Saffman 2025 started; older/newer reviews not fully mined</x:v>
      </x:c>
      <x:c r="C6" s="15" t="str">
        <x:v>All seed reviews processed with backward references and forward citations</x:v>
      </x:c>
      <x:c r="D6" s="15" t="str">
        <x:v>Not met</x:v>
      </x:c>
      <x:c r="E6" s="15" t="str">
        <x:v>Process Browaeys/Lahaye, Henriet/PASQAL, neutral-atom QC/QEC reviews.</x:v>
      </x:c>
    </x:row>
    <x:row r="7">
      <x:c r="A7" s="15" t="str">
        <x:v>arXiv coverage</x:v>
      </x:c>
      <x:c r="B7" s="15" t="str">
        <x:v>Manual/query-grid batches started</x:v>
      </x:c>
      <x:c r="C7" s="15" t="str">
        <x:v>Reproducible query grid 2024, 2025, 2026 with counts and deduplication</x:v>
      </x:c>
      <x:c r="D7" s="15" t="str">
        <x:v>Not met</x:v>
      </x:c>
      <x:c r="E7" s="15" t="str">
        <x:v>Implement query log: hits reviewed, new papers, duplicate papers, new PI candidates.</x:v>
      </x:c>
    </x:row>
    <x:row r="8">
      <x:c r="A8" s="15" t="str">
        <x:v>OpenAlex/Semantic Scholar</x:v>
      </x:c>
      <x:c r="B8" s="15" t="str">
        <x:v>Method planned but not fully executed as systematic pass</x:v>
      </x:c>
      <x:c r="C8" s="15" t="str">
        <x:v>Cross-check authors/institutions/citation graph against arXiv and reviews</x:v>
      </x:c>
      <x:c r="D8" s="15" t="str">
        <x:v>Not met</x:v>
      </x:c>
      <x:c r="E8" s="15" t="str">
        <x:v>Use for affiliation and citation expansion, not as sole truth source.</x:v>
      </x:c>
    </x:row>
    <x:row r="9">
      <x:c r="A9" s="15" t="str">
        <x:v>ROR/geocoding</x:v>
      </x:c>
      <x:c r="B9" s="15" t="str">
        <x:v>Map has coordinates; ROR IDs not systematically filled</x:v>
      </x:c>
      <x:c r="C9" s="15" t="str">
        <x:v>ROR ID or stable institution identifier for all map nodes where available</x:v>
      </x:c>
      <x:c r="D9" s="15" t="str">
        <x:v>Not met</x:v>
      </x:c>
      <x:c r="E9" s="15" t="str">
        <x:v>Create ROR_Normalization sheet and reconcile institutions.</x:v>
      </x:c>
    </x:row>
  </x:sheetData>
  <x:pageMargins left="0.7" right="0.7" top="0.75" bottom="0.75" header="0.3" footer="0.3"/>
  <x:tableParts count="1">
    <x:tablePart xmlns:r="http://schemas.openxmlformats.org/officeDocument/2006/relationships" r:id="R48bb7d64919c401c"/>
  </x:tableParts>
</x:worksheet>
</file>

<file path=xl/worksheets/sheet45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2" hidden="0" customWidth="1"/>
    <x:col min="3" max="3" width="18" hidden="0" customWidth="1"/>
    <x:col min="4" max="4" width="42" hidden="0" customWidth="1"/>
    <x:col min="5" max="5" width="38" hidden="0" customWidth="1"/>
    <x:col min="6" max="6" width="44" hidden="0" customWidth="1"/>
    <x:col min="7" max="7" width="44" hidden="0" customWidth="1"/>
  </x:cols>
  <x:sheetData>
    <x:row r="1">
      <x:c r="A1" s="201" t="str">
        <x:v>source_family</x:v>
      </x:c>
      <x:c r="B1" s="201" t="str">
        <x:v>purpose</x:v>
      </x:c>
      <x:c r="C1" s="201" t="str">
        <x:v>coverage_status</x:v>
      </x:c>
      <x:c r="D1" s="201" t="str">
        <x:v>v2_1_action</x:v>
      </x:c>
      <x:c r="E1" s="201" t="str">
        <x:v>exhaustion_signal</x:v>
      </x:c>
      <x:c r="F1" s="201" t="str">
        <x:v>source_or_doc_url</x:v>
      </x:c>
      <x:c r="G1" s="201" t="str">
        <x:v>notes</x:v>
      </x:c>
    </x:row>
    <x:row r="2">
      <x:c r="A2" s="15" t="str">
        <x:v>arXiv API / arXiv search</x:v>
      </x:c>
      <x:c r="B2" s="15" t="str">
        <x:v>Find 2024-2026 paper layer and last-author candidates</x:v>
      </x:c>
      <x:c r="C2" s="15" t="str">
        <x:v>partially_done</x:v>
      </x:c>
      <x:c r="D2" s="15" t="str">
        <x:v>Continue with fixed query grid and exact hit counts</x:v>
      </x:c>
      <x:c r="E2" s="15" t="str">
        <x:v>Low new-node yield across 3 standardized batches</x:v>
      </x:c>
      <x:c r="F2" s="15" t="str">
        <x:v>https://info.arxiv.org/help/api/user-manual.html</x:v>
      </x:c>
      <x:c r="G2" s="15" t="str">
        <x:v>Primary discovery source for current papers.</x:v>
      </x:c>
    </x:row>
    <x:row r="3">
      <x:c r="A3" s="15" t="str">
        <x:v>Review backward references</x:v>
      </x:c>
      <x:c r="B3" s="15" t="str">
        <x:v>Recover canonical groups and theory threads from curated reviews</x:v>
      </x:c>
      <x:c r="C3" s="15" t="str">
        <x:v>started</x:v>
      </x:c>
      <x:c r="D3" s="15" t="str">
        <x:v>Continue with seed reviews beyond Saffman 2025</x:v>
      </x:c>
      <x:c r="E3" s="15" t="str">
        <x:v>All seed reviews processed and mostly duplicate known nodes</x:v>
      </x:c>
      <x:c r="F3" s="15" t="str">
        <x:v>https://arxiv.org/html/2505.11218v3</x:v>
      </x:c>
      <x:c r="G3" s="15" t="str">
        <x:v>Best source for expert-curated discovery.</x:v>
      </x:c>
    </x:row>
    <x:row r="4">
      <x:c r="A4" s="15" t="str">
        <x:v>Forward citations</x:v>
      </x:c>
      <x:c r="B4" s="15" t="str">
        <x:v>Find post-review 2025-2026 developments citing core reviews/papers</x:v>
      </x:c>
      <x:c r="C4" s="15" t="str">
        <x:v>not_systematic</x:v>
      </x:c>
      <x:c r="D4" s="15" t="str">
        <x:v>Run for A-core papers and top reviews</x:v>
      </x:c>
      <x:c r="E4" s="15" t="str">
        <x:v>Citing-paper list yields mostly duplicates or adjacent nodes</x:v>
      </x:c>
      <x:c r="F4" s="15" t="str">
        <x:v>https://api.semanticscholar.org/api-docs/</x:v>
      </x:c>
      <x:c r="G4" s="15" t="str">
        <x:v>Useful for finding emerging theory/QEC nodes.</x:v>
      </x:c>
    </x:row>
    <x:row r="5">
      <x:c r="A5" s="15" t="str">
        <x:v>OpenAlex</x:v>
      </x:c>
      <x:c r="B5" s="15" t="str">
        <x:v>Institution/author/country normalization and extra discovery</x:v>
      </x:c>
      <x:c r="C5" s="15" t="str">
        <x:v>planned</x:v>
      </x:c>
      <x:c r="D5" s="15" t="str">
        <x:v>Cross-check PI aggregate and institution names</x:v>
      </x:c>
      <x:c r="E5" s="15" t="str">
        <x:v>No new A/B nodes after institution-grouped query pass</x:v>
      </x:c>
      <x:c r="F5" s="15" t="str">
        <x:v>https://docs.openalex.org/</x:v>
      </x:c>
      <x:c r="G5" s="15" t="str">
        <x:v>Use as metadata radar; verify manually.</x:v>
      </x:c>
    </x:row>
    <x:row r="6">
      <x:c r="A6" s="15" t="str">
        <x:v>Semantic Scholar</x:v>
      </x:c>
      <x:c r="B6" s="15" t="str">
        <x:v>Citation graph and related-paper expansion</x:v>
      </x:c>
      <x:c r="C6" s="15" t="str">
        <x:v>planned</x:v>
      </x:c>
      <x:c r="D6" s="15" t="str">
        <x:v>Run related/citing/cited paper checks for seed papers</x:v>
      </x:c>
      <x:c r="E6" s="15" t="str">
        <x:v>Citing/related lists saturate with known or adjacent nodes</x:v>
      </x:c>
      <x:c r="F6" s="15" t="str">
        <x:v>https://api.semanticscholar.org/api-docs/</x:v>
      </x:c>
      <x:c r="G6" s="15" t="str">
        <x:v>Good for networks, not always affiliation truth.</x:v>
      </x:c>
    </x:row>
    <x:row r="7">
      <x:c r="A7" s="15" t="str">
        <x:v>ROR</x:v>
      </x:c>
      <x:c r="B7" s="15" t="str">
        <x:v>Institution IDs and location normalization</x:v>
      </x:c>
      <x:c r="C7" s="15" t="str">
        <x:v>planned</x:v>
      </x:c>
      <x:c r="D7" s="15" t="str">
        <x:v>Add ROR_Normalization sheet</x:v>
      </x:c>
      <x:c r="E7" s="15" t="str">
        <x:v>≥95% of mapped institutions reconciled</x:v>
      </x:c>
      <x:c r="F7" s="15" t="str">
        <x:v>https://ror.readme.io/docs/rest-api</x:v>
      </x:c>
      <x:c r="G7" s="15" t="str">
        <x:v>Useful for future map website.</x:v>
      </x:c>
    </x:row>
    <x:row r="8">
      <x:c r="A8" s="15" t="str">
        <x:v>Company/program pages</x:v>
      </x:c>
      <x:c r="B8" s="15" t="str">
        <x:v>Detect startups, national labs, and hardware programs not publishing openly</x:v>
      </x:c>
      <x:c r="C8" s="15" t="str">
        <x:v>partial</x:v>
      </x:c>
      <x:c r="D8" s="15" t="str">
        <x:v>Add company-specific audit sheet</x:v>
      </x:c>
      <x:c r="E8" s="15" t="str">
        <x:v>No plausible new company after company/job/patent pass</x:v>
      </x:c>
      <x:c r="F8" s="15" t="str">
        <x:v>https://www.lens.org/</x:v>
      </x:c>
      <x:c r="G8" s="15" t="str">
        <x:v>Needed because companies do not always publish arXiv papers.</x:v>
      </x:c>
    </x:row>
    <x:row r="9">
      <x:c r="A9" s="15" t="str">
        <x:v>Conference/workshop programs</x:v>
      </x:c>
      <x:c r="B9" s="15" t="str">
        <x:v>Catch active but unpublished groups</x:v>
      </x:c>
      <x:c r="C9" s="15" t="str">
        <x:v>not_started</x:v>
      </x:c>
      <x:c r="D9" s="15" t="str">
        <x:v>Scan DAMOP, ICAP, Quantum 2.0, EQTC, Q2B titles</x:v>
      </x:c>
      <x:c r="E9" s="15" t="str">
        <x:v>Conference pass yields no new core nodes</x:v>
      </x:c>
      <x:c r="F9" s="15" t="str">
        <x:v>https://www.optica.org/events/congress/quantum_2_0/</x:v>
      </x:c>
      <x:c r="G9" s="15" t="str">
        <x:v>Useful for emerging groups and stealth industry.</x:v>
      </x:c>
    </x:row>
  </x:sheetData>
  <x:pageMargins left="0.7" right="0.7" top="0.75" bottom="0.75" header="0.3" footer="0.3"/>
  <x:tableParts count="1">
    <x:tablePart xmlns:r="http://schemas.openxmlformats.org/officeDocument/2006/relationships" r:id="Rdf0b3cfaf3bf47c6"/>
  </x:tableParts>
</x:worksheet>
</file>

<file path=xl/worksheets/sheet46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6" hidden="0" customWidth="1"/>
    <x:col min="3" max="3" width="48" hidden="0" customWidth="1"/>
    <x:col min="4" max="4" width="24" hidden="0" customWidth="1"/>
    <x:col min="5" max="5" width="36" hidden="0" customWidth="1"/>
    <x:col min="6" max="6" width="42" hidden="0" customWidth="1"/>
    <x:col min="7" max="7" width="16" hidden="0" customWidth="1"/>
  </x:cols>
  <x:sheetData>
    <x:row r="1">
      <x:c r="A1" s="201" t="str">
        <x:v>priority</x:v>
      </x:c>
      <x:c r="B1" s="201" t="str">
        <x:v>task_id</x:v>
      </x:c>
      <x:c r="C1" s="201" t="str">
        <x:v>task</x:v>
      </x:c>
      <x:c r="D1" s="201" t="str">
        <x:v>source_family</x:v>
      </x:c>
      <x:c r="E1" s="201" t="str">
        <x:v>expected_output</x:v>
      </x:c>
      <x:c r="F1" s="201" t="str">
        <x:v>promotion_policy</x:v>
      </x:c>
      <x:c r="G1" s="201" t="str">
        <x:v>status</x:v>
      </x:c>
    </x:row>
    <x:row r="2">
      <x:c r="A2" s="15" t="n">
        <x:v>1</x:v>
      </x:c>
      <x:c r="B2" s="15" t="str">
        <x:v>T-v2.2-001</x:v>
      </x:c>
      <x:c r="C2" s="15" t="str">
        <x:v>Run fixed arXiv query grid for 2024-2026 with explicit hit counts and deduplication</x:v>
      </x:c>
      <x:c r="D2" s="15" t="str">
        <x:v>arXiv</x:v>
      </x:c>
      <x:c r="E2" s="15" t="str">
        <x:v>Query-by-year hit table + paper candidates</x:v>
      </x:c>
      <x:c r="F2" s="15" t="str">
        <x:v>Paper-layer only unless new A-core appears</x:v>
      </x:c>
      <x:c r="G2" s="15" t="str">
        <x:v>next</x:v>
      </x:c>
    </x:row>
    <x:row r="3">
      <x:c r="A3" s="15" t="n">
        <x:v>2</x:v>
      </x:c>
      <x:c r="B3" s="15" t="str">
        <x:v>T-v2.2-002</x:v>
      </x:c>
      <x:c r="C3" s="15" t="str">
        <x:v>Mine Browaeys/Lahaye Rydberg arrays review references and compare against Database</x:v>
      </x:c>
      <x:c r="D3" s="15" t="str">
        <x:v>review references</x:v>
      </x:c>
      <x:c r="E3" s="15" t="str">
        <x:v>Review_References_Browaeys_Lahaye sheet</x:v>
      </x:c>
      <x:c r="F3" s="15" t="str">
        <x:v>Promote only non-duplicate theory/mixed nodes</x:v>
      </x:c>
      <x:c r="G3" s="15" t="str">
        <x:v>next</x:v>
      </x:c>
    </x:row>
    <x:row r="4">
      <x:c r="A4" s="15" t="n">
        <x:v>3</x:v>
      </x:c>
      <x:c r="B4" s="15" t="str">
        <x:v>T-v2.2-003</x:v>
      </x:c>
      <x:c r="C4" s="15" t="str">
        <x:v>Create ROR_Normalization sheet for all institutions in Map_Export</x:v>
      </x:c>
      <x:c r="D4" s="15" t="str">
        <x:v>ROR</x:v>
      </x:c>
      <x:c r="E4" s="15" t="str">
        <x:v>institution, ROR ID, city, country, lat, lon</x:v>
      </x:c>
      <x:c r="F4" s="15" t="str">
        <x:v>No promotion; metadata cleanup only</x:v>
      </x:c>
      <x:c r="G4" s="15" t="str">
        <x:v>next</x:v>
      </x:c>
    </x:row>
    <x:row r="5">
      <x:c r="A5" s="15" t="n">
        <x:v>4</x:v>
      </x:c>
      <x:c r="B5" s="15" t="str">
        <x:v>T-v2.2-004</x:v>
      </x:c>
      <x:c r="C5" s="15" t="str">
        <x:v>Company/program audit: PASQAL, QuEra, Atom Computing, Infleqtion, planqc, Quantum Brilliance? and national labs</x:v>
      </x:c>
      <x:c r="D5" s="15" t="str">
        <x:v>companies/programs</x:v>
      </x:c>
      <x:c r="E5" s="15" t="str">
        <x:v>Company_Audit sheet</x:v>
      </x:c>
      <x:c r="F5" s="15" t="str">
        <x:v>Promote only if neutral-atom Rydberg/tweezer relevance is confirmed</x:v>
      </x:c>
      <x:c r="G5" s="15" t="str">
        <x:v>later</x:v>
      </x:c>
    </x:row>
    <x:row r="6">
      <x:c r="A6" s="15" t="n">
        <x:v>5</x:v>
      </x:c>
      <x:c r="B6" s="15" t="str">
        <x:v>T-v2.2-005</x:v>
      </x:c>
      <x:c r="C6" s="15" t="str">
        <x:v>Forward-citation check for Saffman 2025, Browaeys/Lahaye 2020, and selected A-core papers</x:v>
      </x:c>
      <x:c r="D6" s="15" t="str">
        <x:v>Semantic Scholar/OpenAlex</x:v>
      </x:c>
      <x:c r="E6" s="15" t="str">
        <x:v>Forward_Citation_Candidates sheet</x:v>
      </x:c>
      <x:c r="F6" s="15" t="str">
        <x:v>Keep as paper/candidate layer first</x:v>
      </x:c>
      <x:c r="G6" s="15" t="str">
        <x:v>later</x:v>
      </x:c>
    </x:row>
    <x:row r="7">
      <x:c r="A7" s="15" t="n">
        <x:v>6</x:v>
      </x:c>
      <x:c r="B7" s="15" t="str">
        <x:v>T-v2.2-006</x:v>
      </x:c>
      <x:c r="C7" s="15" t="str">
        <x:v>Backlog exact metadata: Kurdak/Förster microwave tuning thread</x:v>
      </x:c>
      <x:c r="D7" s="15" t="str">
        <x:v>manual review</x:v>
      </x:c>
      <x:c r="E7" s="15" t="str">
        <x:v>Resolved or closed pending REF-v1.9-019</x:v>
      </x:c>
      <x:c r="F7" s="15" t="str">
        <x:v>Likely adjacent; promote only if tweezer-array relevance is direct</x:v>
      </x:c>
      <x:c r="G7" s="15" t="str">
        <x:v>later</x:v>
      </x:c>
    </x:row>
  </x:sheetData>
  <x:pageMargins left="0.7" right="0.7" top="0.75" bottom="0.75" header="0.3" footer="0.3"/>
  <x:tableParts count="1">
    <x:tablePart xmlns:r="http://schemas.openxmlformats.org/officeDocument/2006/relationships" r:id="R2a95008d8caf4561"/>
  </x:tableParts>
</x:worksheet>
</file>

<file path=xl/worksheets/sheet47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72" hidden="0" customWidth="1"/>
  </x:cols>
  <x:sheetData>
    <x:row r="1">
      <x:c r="A1" s="201" t="str">
        <x:v>item</x:v>
      </x:c>
      <x:c r="B1" s="201" t="str">
        <x:v>value</x:v>
      </x:c>
    </x:row>
    <x:row r="2">
      <x:c r="A2" s="15" t="str">
        <x:v>version</x:v>
      </x:c>
      <x:c r="B2" s="15" t="str">
        <x:v>v2.1</x:v>
      </x:c>
    </x:row>
    <x:row r="3">
      <x:c r="A3" s="15" t="str">
        <x:v>date</x:v>
      </x:c>
      <x:c r="B3" s="15" t="str">
        <x:v>2026-06-18</x:v>
      </x:c>
    </x:row>
    <x:row r="4">
      <x:c r="A4" s="15" t="str">
        <x:v>database_entries_added</x:v>
      </x:c>
      <x:c r="B4" s="15" t="n">
        <x:v>0</x:v>
      </x:c>
    </x:row>
    <x:row r="5">
      <x:c r="A5" s="15" t="str">
        <x:v>map_export_changed</x:v>
      </x:c>
      <x:c r="B5" s="15" t="str">
        <x:v>No</x:v>
      </x:c>
    </x:row>
    <x:row r="6">
      <x:c r="A6" s="15" t="str">
        <x:v>main_result</x:v>
      </x:c>
      <x:c r="B6" s="15" t="str">
        <x:v>Resolved key pending references from Saffman-review mining as duplicate/merge/evidence rather than new Database nodes.</x:v>
      </x:c>
    </x:row>
    <x:row r="7">
      <x:c r="A7" s="15" t="str">
        <x:v>core_diagnosis</x:v>
      </x:c>
      <x:c r="B7" s="15" t="str">
        <x:v>No new A-core nodes. Core experimental map looks increasingly saturated; theory/QEC/control layer remains open.</x:v>
      </x:c>
    </x:row>
    <x:row r="8">
      <x:c r="A8" s="15" t="str">
        <x:v>next_version</x:v>
      </x:c>
      <x:c r="B8" s="15" t="str">
        <x:v>v2.2 should run a fixed arXiv query grid with explicit hit counts or mine the Browaeys/Lahaye review references.</x:v>
      </x:c>
    </x:row>
  </x:sheetData>
  <x:pageMargins left="0.7" right="0.7" top="0.75" bottom="0.75" header="0.3" footer="0.3"/>
</x:worksheet>
</file>